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tables/table2.xml" ContentType="application/vnd.openxmlformats-officedocument.spreadsheetml.table+xml"/>
  <Override PartName="/xl/worksheets/sheet2.xml" ContentType="application/vnd.openxmlformats-officedocument.spreadsheetml.worksheet+xml"/>
  <Override PartName="/xl/tables/table3.xml" ContentType="application/vnd.openxmlformats-officedocument.spreadsheetml.table+xml"/>
  <Override PartName="/xl/worksheets/sheet3.xml" ContentType="application/vnd.openxmlformats-officedocument.spreadsheetml.worksheet+xml"/>
  <Override PartName="/xl/tables/table4.xml" ContentType="application/vnd.openxmlformats-officedocument.spreadsheetml.table+xml"/>
  <Override PartName="/xl/worksheets/sheet4.xml" ContentType="application/vnd.openxmlformats-officedocument.spreadsheetml.worksheet+xml"/>
  <Override PartName="/xl/tables/table5.xml" ContentType="application/vnd.openxmlformats-officedocument.spreadsheetml.table+xml"/>
  <Override PartName="/xl/worksheets/sheet5.xml" ContentType="application/vnd.openxmlformats-officedocument.spreadsheetml.worksheet+xml"/>
  <Override PartName="/xl/tables/table6.xml" ContentType="application/vnd.openxmlformats-officedocument.spreadsheetml.table+xml"/>
  <Override PartName="/xl/worksheets/sheet6.xml" ContentType="application/vnd.openxmlformats-officedocument.spreadsheetml.worksheet+xml"/>
  <Override PartName="/xl/tables/table7.xml" ContentType="application/vnd.openxmlformats-officedocument.spreadsheetml.table+xml"/>
  <Override PartName="/xl/worksheets/sheet7.xml" ContentType="application/vnd.openxmlformats-officedocument.spreadsheetml.worksheet+xml"/>
  <Override PartName="/xl/tables/table8.xml" ContentType="application/vnd.openxmlformats-officedocument.spreadsheetml.table+xml"/>
  <Override PartName="/xl/worksheets/sheet8.xml" ContentType="application/vnd.openxmlformats-officedocument.spreadsheetml.worksheet+xml"/>
  <Override PartName="/xl/tables/table9.xml" ContentType="application/vnd.openxmlformats-officedocument.spreadsheetml.table+xml"/>
  <Override PartName="/xl/worksheets/sheet9.xml" ContentType="application/vnd.openxmlformats-officedocument.spreadsheetml.worksheet+xml"/>
  <Override PartName="/xl/tables/table10.xml" ContentType="application/vnd.openxmlformats-officedocument.spreadsheetml.table+xml"/>
  <Override PartName="/xl/worksheets/sheet10.xml" ContentType="application/vnd.openxmlformats-officedocument.spreadsheetml.worksheet+xml"/>
  <Override PartName="/xl/tables/table11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worksheets/sheet12.xml" ContentType="application/vnd.openxmlformats-officedocument.spreadsheetml.worksheet+xml"/>
  <Override PartName="/xl/tables/table13.xml" ContentType="application/vnd.openxmlformats-officedocument.spreadsheetml.table+xml"/>
  <Override PartName="/xl/worksheets/sheet13.xml" ContentType="application/vnd.openxmlformats-officedocument.spreadsheetml.worksheet+xml"/>
  <Override PartName="/xl/tables/table14.xml" ContentType="application/vnd.openxmlformats-officedocument.spreadsheetml.table+xml"/>
  <Override PartName="/xl/worksheets/sheet14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mv="urn:schemas-microsoft-com:mac:vml" xmlns:mx="http://schemas.microsoft.com/office/mac/excel/2008/main" xmlns:x14="http://schemas.microsoft.com/office/spreadsheetml/2009/9/main" xmlns:x14ac="http://schemas.microsoft.com/office/spreadsheetml/2009/9/ac" xmlns:x15="http://schemas.microsoft.com/office/spreadsheetml/2010/11/main" xmlns:xm="http://schemas.microsoft.com/office/excel/2006/main" mc:Ignorable="x15">
  <fileVersion appName="xl" lastEdited="4" lowestEdited="4" rupBuild="9302"/>
  <workbookPr/>
  <bookViews>
    <workbookView xWindow="240" yWindow="120" windowWidth="14940" windowHeight="9225" activeTab="0"/>
  </bookViews>
  <sheets>
    <sheet name="Chips" sheetId="1" r:id="rId3"/>
    <sheet name="Schottky" sheetId="2" r:id="rId4"/>
    <sheet name="Zener" sheetId="3" r:id="rId5"/>
    <sheet name="TVS" sheetId="4" r:id="rId6"/>
    <sheet name="Transistors" sheetId="5" r:id="rId7"/>
    <sheet name="Resistors" sheetId="6" r:id="rId8"/>
    <sheet name="Rectifier_diodes" sheetId="7" r:id="rId9"/>
    <sheet name="Capacitors" sheetId="8" r:id="rId10"/>
    <sheet name="Capacitors_ceramic" sheetId="9" r:id="rId11"/>
    <sheet name="Capacitors_electrolytic" sheetId="10" r:id="rId12"/>
    <sheet name="Inductance" sheetId="11" r:id="rId13"/>
    <sheet name="Thyristors" sheetId="12" r:id="rId14"/>
    <sheet name="Other" sheetId="13" r:id="rId15"/>
    <sheet name="Connectors" sheetId="14" r:id="rId16"/>
  </sheets>
  <definedNames>
    <definedName name="Z_C8B2F686_1E60_40D3_BB0B_E226B9AB3D2B_.wvu.FilterData" localSheetId="5" hidden="1">Resistors!$A$1:$O$190</definedName>
    <definedName name="Z_3927DBCC_10E8_42FE_9008_6493CFF0C1F7_.wvu.FilterData" localSheetId="12" hidden="1">Other!$A$1:$P$28</definedName>
    <definedName name="Z_AD18EC43_8DB6_4E4C_9AE6_0877D8BB0E08_.wvu.FilterData" localSheetId="1" hidden="1">Schottky!$A$1:$K$12</definedName>
    <definedName name="Z_BC9176C8_F2C9_48A9_9FC9_D1ABBDF49778_.wvu.FilterData" localSheetId="3" hidden="1">TVS!$A$1:$M$14</definedName>
    <definedName name="Z_4A8BA326_6D90_478F_A019_76C98A4E7A2B_.wvu.FilterData" localSheetId="4" hidden="1">Transistors!$A$1:$M$20</definedName>
    <definedName name="Z_A7283310_F6A6_468C_A91A_1FB0B94D65BC_.wvu.FilterData" localSheetId="8" hidden="1">Capacitors_ceramic!$A$1:$N$57</definedName>
    <definedName name="Z_FF52B65E_E26F_4A4B_B993_E90D14663BBF_.wvu.FilterData" localSheetId="2" hidden="1">Zener!$A$1:$N$6</definedName>
    <definedName name="Z_5AAEAC81_B1BD_4020_AD51_E0B5ED9EB715_.wvu.FilterData" localSheetId="9" hidden="1">Capacitors_electrolytic!$A$1:$P$30</definedName>
    <definedName name="Z_12FA3A1C_259A_47BB_BD5D_4B88C260261A_.wvu.FilterData" localSheetId="0" hidden="1">Chips!$A$1:$M$70</definedName>
    <definedName name="Z_341DCE69_01FB_409B_8CCD_A4C9CE508AA6_.wvu.FilterData" localSheetId="13" hidden="1">Connectors!$A$1:$L$68</definedName>
    <definedName name="Z_B9F88035_E9CE_42C4_8D6E_2468EFFC629E_.wvu.FilterData" localSheetId="11" hidden="1">Thyristors!$A$1:$M$2</definedName>
    <definedName name="Z_3C744F15_3FD2_47BD_B0C2_5ADC8D3AD4B3_.wvu.FilterData" localSheetId="10" hidden="1">Inductance!$A$1:$R$30</definedName>
    <definedName name="Z_50BC66D5_293C_48BC_8D4C_D4E701D8C175_.wvu.FilterData" localSheetId="6" hidden="1">Rectifier_diodes!$A$1:$L$6</definedName>
    <definedName name="Z_FF43CC28_F001_479A_BD56_70344E0064A8_.wvu.FilterData" localSheetId="7" hidden="1">Capacitors!$A$1:$V$3</definedName>
  </definedNames>
  <calcPr calcId="0"/>
  <customWorkbookViews>
    <customWorkbookView name="Таблица6 filter view" guid="{C8B2F686-1E60-40D3-BB0B-E226B9AB3D2B}" activeSheetId="0" xWindow="240" yWindow="120" windowWidth="0" windowHeight="0" mergeInterval="0" maximized="1"/>
    <customWorkbookView name="Таблица8 filter view" guid="{3927DBCC-10E8-42FE-9008-6493CFF0C1F7}" activeSheetId="0" xWindow="240" yWindow="120" windowWidth="0" windowHeight="0" mergeInterval="0" maximized="1"/>
    <customWorkbookView name="Таблица4 filter view" guid="{AD18EC43-8DB6-4E4C-9AE6-0877D8BB0E08}" activeSheetId="0" xWindow="240" yWindow="120" windowWidth="0" windowHeight="0" mergeInterval="0" maximized="1"/>
    <customWorkbookView name="Таблица3 filter view" guid="{BC9176C8-F2C9-48A9-9FC9-D1ABBDF49778}" activeSheetId="0" xWindow="240" yWindow="120" windowWidth="0" windowHeight="0" mergeInterval="0" maximized="1"/>
    <customWorkbookView name="Таблица5 filter view" guid="{4A8BA326-6D90-478F-A019-76C98A4E7A2B}" activeSheetId="0" xWindow="240" yWindow="120" windowWidth="0" windowHeight="0" mergeInterval="0" maximized="1"/>
    <customWorkbookView name="Таблица11 filter view" guid="{A7283310-F6A6-468C-A91A-1FB0B94D65BC}" activeSheetId="0" xWindow="240" yWindow="120" windowWidth="0" windowHeight="0" mergeInterval="0" maximized="1"/>
    <customWorkbookView name="Таблица2 filter view" guid="{FF52B65E-E26F-4A4B-B993-E90D14663BBF}" activeSheetId="0" xWindow="240" yWindow="120" windowWidth="0" windowHeight="0" mergeInterval="0" maximized="1"/>
    <customWorkbookView name="Таблица12 filter view" guid="{5AAEAC81-B1BD-4020-AD51-E0B5ED9EB715}" activeSheetId="0" xWindow="240" yWindow="120" windowWidth="0" windowHeight="0" mergeInterval="0" maximized="1"/>
    <customWorkbookView name="Таблица1 filter view" guid="{12FA3A1C-259A-47BB-BD5D-4B88C260261A}" activeSheetId="0" xWindow="240" yWindow="120" windowWidth="0" windowHeight="0" mergeInterval="0" maximized="1"/>
    <customWorkbookView name="Таблица9 filter view" guid="{341DCE69-01FB-409B-8CCD-A4C9CE508AA6}" activeSheetId="0" xWindow="240" yWindow="120" windowWidth="0" windowHeight="0" mergeInterval="0" maximized="1"/>
    <customWorkbookView name="Таблица1014 filter view" guid="{B9F88035-E9CE-42C4-8D6E-2468EFFC629E}" activeSheetId="0" xWindow="240" yWindow="120" windowWidth="0" windowHeight="0" mergeInterval="0" maximized="1"/>
    <customWorkbookView name="Таблица10 filter view" guid="{3C744F15-3FD2-47BD-B0C2-5ADC8D3AD4B3}" activeSheetId="0" xWindow="240" yWindow="120" windowWidth="0" windowHeight="0" mergeInterval="0" maximized="1"/>
    <customWorkbookView name="Таблица215 filter view" guid="{50BC66D5-293C-48BC-8D4C-D4E701D8C175}" activeSheetId="0" xWindow="240" yWindow="120" windowWidth="0" windowHeight="0" mergeInterval="0" maximized="1"/>
    <customWorkbookView name="Таблица7 filter view" guid="{FF43CC28-F001-479A-BD56-70344E0064A8}" activeSheetId="0" xWindow="240" yWindow="120" windowWidth="0" windowHeight="0" mergeInterval="0" maximized="1"/>
  </customWorkbookViews>
</workbook>
</file>

<file path=xl/sharedStrings.xml><?xml version="1.0" encoding="utf-8"?>
<sst xmlns="http://schemas.openxmlformats.org/spreadsheetml/2006/main" count="4190" uniqueCount="1741">
  <si>
    <t>Part Number</t>
  </si>
  <si>
    <t>Description</t>
  </si>
  <si>
    <t>Comment</t>
  </si>
  <si>
    <t>Library Path</t>
  </si>
  <si>
    <t>Library Ref</t>
  </si>
  <si>
    <t>Footprint Path 1</t>
  </si>
  <si>
    <t>Footprint Ref 1</t>
  </si>
  <si>
    <t>Footprint Path 2</t>
  </si>
  <si>
    <t>Footprint Ref 2</t>
  </si>
  <si>
    <t>Footprint Path 3</t>
  </si>
  <si>
    <t>Footprint Ref 3</t>
  </si>
  <si>
    <t>Datasheet</t>
  </si>
  <si>
    <t>Voltage (V)</t>
  </si>
  <si>
    <t>Автор</t>
  </si>
  <si>
    <t>Current</t>
  </si>
  <si>
    <t>Power (W)</t>
  </si>
  <si>
    <t>Value</t>
  </si>
  <si>
    <t>Accuracy</t>
  </si>
  <si>
    <t>STM32F407VGT6</t>
  </si>
  <si>
    <t>Interface</t>
  </si>
  <si>
    <t>Микроконтроллер</t>
  </si>
  <si>
    <t>BZX384-C12</t>
  </si>
  <si>
    <t>Стабилитрон на 12 В, рассеиваемая мощность 0.3 Вт</t>
  </si>
  <si>
    <t>SMBJ24A</t>
  </si>
  <si>
    <t>Schematic\Zener.SchLib</t>
  </si>
  <si>
    <t>SK33</t>
  </si>
  <si>
    <t>Zener</t>
  </si>
  <si>
    <t>Footprints\SOD-323.PcbLib</t>
  </si>
  <si>
    <t>SOD-323</t>
  </si>
  <si>
    <t>12</t>
  </si>
  <si>
    <t>5 мА</t>
  </si>
  <si>
    <t>0.3</t>
  </si>
  <si>
    <t>12 В</t>
  </si>
  <si>
    <t>BZV55B2V4</t>
  </si>
  <si>
    <t>Стабилитрон на 2.4 В, рассеиваемая мощность 0.5 Вт</t>
  </si>
  <si>
    <t>LQFP100</t>
  </si>
  <si>
    <t>Footprints\mini_MELF_3.5mm.PcbLib</t>
  </si>
  <si>
    <t>USBLC6-4</t>
  </si>
  <si>
    <t>mini_MELF_3.5mm</t>
  </si>
  <si>
    <t>Сборка защитных диодов для USB</t>
  </si>
  <si>
    <t>2.4</t>
  </si>
  <si>
    <t>0.5</t>
  </si>
  <si>
    <t>2.4 В</t>
  </si>
  <si>
    <t>TVS_1_1dir</t>
  </si>
  <si>
    <t>SOT23-6</t>
  </si>
  <si>
    <t>rreali</t>
  </si>
  <si>
    <t>BZX84-B11</t>
  </si>
  <si>
    <t>MAX485CSA</t>
  </si>
  <si>
    <t>Schematic\Schottky_diode.schLib</t>
  </si>
  <si>
    <t>Стабилитрон на 11 В, рассеиваемая мощность 0.25 Вт</t>
  </si>
  <si>
    <t>RS-485 приёмопередатчик</t>
  </si>
  <si>
    <t>Schottky_diode</t>
  </si>
  <si>
    <t>Schematic\Zener_3pin.SchLib</t>
  </si>
  <si>
    <t>Zener_3pin</t>
  </si>
  <si>
    <t>SMB</t>
  </si>
  <si>
    <t>Footprints\SOT23-3.PcbLib</t>
  </si>
  <si>
    <t>SOT23-3</t>
  </si>
  <si>
    <t>11</t>
  </si>
  <si>
    <t>SOIC-8</t>
  </si>
  <si>
    <t>SMC</t>
  </si>
  <si>
    <t>STM32F103C8T6</t>
  </si>
  <si>
    <t>0.25</t>
  </si>
  <si>
    <t>11 В</t>
  </si>
  <si>
    <t>3 А</t>
  </si>
  <si>
    <t>glebmih</t>
  </si>
  <si>
    <t>BZV55-B12</t>
  </si>
  <si>
    <t>LQFP48</t>
  </si>
  <si>
    <t>Стабилитрон 12В, 5%, 0.5Вт</t>
  </si>
  <si>
    <t>PSM712</t>
  </si>
  <si>
    <t>SK32</t>
  </si>
  <si>
    <t>LM2594HVM-ADJ</t>
  </si>
  <si>
    <t>DC-DC преобразователь</t>
  </si>
  <si>
    <t>TVS_2_2dir</t>
  </si>
  <si>
    <t>LD1117S33CTR</t>
  </si>
  <si>
    <t>20</t>
  </si>
  <si>
    <t>Линейный стабилизатор напряжения</t>
  </si>
  <si>
    <t>RS-485</t>
  </si>
  <si>
    <t>BZV55-B10</t>
  </si>
  <si>
    <t>SMAJ12CA</t>
  </si>
  <si>
    <t>BAT54WS</t>
  </si>
  <si>
    <t>Стабилитрон 10В, 2%, 0.5Вт</t>
  </si>
  <si>
    <t>SOT223</t>
  </si>
  <si>
    <t>CD4050B</t>
  </si>
  <si>
    <t>Шесть буферных элементов</t>
  </si>
  <si>
    <t>10</t>
  </si>
  <si>
    <t>10 В</t>
  </si>
  <si>
    <t>SOIC-16</t>
  </si>
  <si>
    <t>TVS_1_2dir</t>
  </si>
  <si>
    <t>0,2 А</t>
  </si>
  <si>
    <t>Footprints\DIP16.PcbLib</t>
  </si>
  <si>
    <t>https://cdn.promelec.ru/upload/datasheet/b/7/BZV55_SER.pdf</t>
  </si>
  <si>
    <t>DIP16_in_socket</t>
  </si>
  <si>
    <t>10S45SP</t>
  </si>
  <si>
    <t>SMA</t>
  </si>
  <si>
    <t>DIP16_in_socket_SMD</t>
  </si>
  <si>
    <t>ADM2483BRWZ</t>
  </si>
  <si>
    <t>SMBJ18A</t>
  </si>
  <si>
    <t>TO-277</t>
  </si>
  <si>
    <t>Прием передатчик RS485 с гальванической развязкой</t>
  </si>
  <si>
    <t>10 А</t>
  </si>
  <si>
    <t>SK810</t>
  </si>
  <si>
    <t>SOIC-16W</t>
  </si>
  <si>
    <t>LD1117S50CTR</t>
  </si>
  <si>
    <t>PESD5V0S1UB</t>
  </si>
  <si>
    <t>VND5025</t>
  </si>
  <si>
    <t>Double channel high side driver with analog current sense for automotive applications</t>
  </si>
  <si>
    <t>8 А</t>
  </si>
  <si>
    <t>15MQ040N</t>
  </si>
  <si>
    <t>SOD523</t>
  </si>
  <si>
    <t>POWERSSO24</t>
  </si>
  <si>
    <t>SN74LVC1G17DCKR</t>
  </si>
  <si>
    <t>Одиночный триггер Шмитта 5-SC70 -40 to 125, буфер</t>
  </si>
  <si>
    <t>SMBJ15A</t>
  </si>
  <si>
    <t>SC-70-5</t>
  </si>
  <si>
    <t>74LVC1G74DP,125</t>
  </si>
  <si>
    <t>Одиночный D триггер</t>
  </si>
  <si>
    <t>2,1 А</t>
  </si>
  <si>
    <t>BAS70-04-7-F</t>
  </si>
  <si>
    <t>TSSOP-8</t>
  </si>
  <si>
    <t>SMBJ13A-TR</t>
  </si>
  <si>
    <t>RT8279GSP</t>
  </si>
  <si>
    <t>Преобразователь постоянного тока понижающий подстраиваемый выход 5А НЕ РЕКОМЕНДОВАНО ДЛЯ НОВЫХ ДИЗАЙНОВ</t>
  </si>
  <si>
    <t>Schematic\BAS70-04-7-F.schLib</t>
  </si>
  <si>
    <t>8SOP(Exposed_Pad)</t>
  </si>
  <si>
    <t>SOT23</t>
  </si>
  <si>
    <t>0,7 А</t>
  </si>
  <si>
    <t>TP4056</t>
  </si>
  <si>
    <t>SM15T33A</t>
  </si>
  <si>
    <t>SK56</t>
  </si>
  <si>
    <t>TP4056, Контроллер заряда Li-Ion аккумуляторов, 1А, UMW</t>
  </si>
  <si>
    <t>5 А</t>
  </si>
  <si>
    <t>SMBJ16CA</t>
  </si>
  <si>
    <t>Защитный диод двунаправленный 600Вт 16В</t>
  </si>
  <si>
    <t>LM2623AMMX</t>
  </si>
  <si>
    <t>SK54</t>
  </si>
  <si>
    <t>Повышающий DC-DC преобразователь 2A</t>
  </si>
  <si>
    <t>VSSOP-8</t>
  </si>
  <si>
    <t>PESD3V3L1UB</t>
  </si>
  <si>
    <t>DW01</t>
  </si>
  <si>
    <t>Защита одной ячейки Li-Ion/polimer</t>
  </si>
  <si>
    <t>B550C</t>
  </si>
  <si>
    <t>arduino_nano</t>
  </si>
  <si>
    <t>ардуинка на стойках</t>
  </si>
  <si>
    <t>SMBJ16A</t>
  </si>
  <si>
    <t>TPS61088</t>
  </si>
  <si>
    <t>Преобразователь постоянного тока повышающий синхронный вход 2.7В...12В выход 4.5В...12.6В 10A</t>
  </si>
  <si>
    <t>20MQ100</t>
  </si>
  <si>
    <t>SMAJ12A</t>
  </si>
  <si>
    <t>VQFN-RHL</t>
  </si>
  <si>
    <t>RT8509A</t>
  </si>
  <si>
    <t>Импульсный повышающий DC-DC стабилизатор, регулируемый, 2.8В-14В (Vin), 24В/4.5A, 1.5МГц, WDFN-12</t>
  </si>
  <si>
    <t>2 А</t>
  </si>
  <si>
    <t>PESD1CAN,215</t>
  </si>
  <si>
    <t>WDFN5x5-12</t>
  </si>
  <si>
    <t>VN7140AS</t>
  </si>
  <si>
    <t>Силовой ключ верхнего плеча с аналоговой обратной связью MultiSense автомобильного применения</t>
  </si>
  <si>
    <t>SOP8</t>
  </si>
  <si>
    <t>74HC4051PW,118</t>
  </si>
  <si>
    <t>Мультиплексор аналоговый 8 в 1 КМОП кристалл, TSSOP16</t>
  </si>
  <si>
    <t>CAN</t>
  </si>
  <si>
    <t>https://static.chipdip.ru/lib/583/DOC001583049.pdf</t>
  </si>
  <si>
    <t>TSSOP-16</t>
  </si>
  <si>
    <t>sim800l</t>
  </si>
  <si>
    <t>Четырехдиапазонный GSM/GPRS модуль, частоты: GSM 850 МГц, EGSM 900 МГц, DCS 1800 МГц и PCS 1900 МГц.</t>
  </si>
  <si>
    <t>74HC139D,653</t>
  </si>
  <si>
    <t>Два декодера (демультиплексора) 2 в 4 (1 в 4), вход и выходы с инверсией</t>
  </si>
  <si>
    <t>CD4555BM</t>
  </si>
  <si>
    <t>Два декодера (демультиплексора) 2 в 4 (1 в 4), вход с инверсией, выходы без</t>
  </si>
  <si>
    <t>Current (A)</t>
  </si>
  <si>
    <t>MC74HC595ADR2G</t>
  </si>
  <si>
    <t>8-ми битный сдвиговый регистр</t>
  </si>
  <si>
    <t>50N06</t>
  </si>
  <si>
    <t>Schematic\MC74HC595ADR2G.SchLib</t>
  </si>
  <si>
    <t>Footprints\SOIC-16.PcbLib</t>
  </si>
  <si>
    <t>N-канальный MOSFET</t>
  </si>
  <si>
    <t>MT3608</t>
  </si>
  <si>
    <t>Повышающий/SEPIC DC-DC преобразователь 2А 1.2МГц</t>
  </si>
  <si>
    <t>Schematic\MOSFET N-channel.SchLib</t>
  </si>
  <si>
    <t>MOSFET N-channel 1</t>
  </si>
  <si>
    <t>DPAK</t>
  </si>
  <si>
    <t>CD4013BE</t>
  </si>
  <si>
    <t>Два триггера D-типа</t>
  </si>
  <si>
    <t>DPAK_termopad</t>
  </si>
  <si>
    <t>60 В</t>
  </si>
  <si>
    <t>50 А</t>
  </si>
  <si>
    <t>Footprints\DIP14.PcbLib</t>
  </si>
  <si>
    <t>100N03A</t>
  </si>
  <si>
    <t>DIP14_IN_SOCKET</t>
  </si>
  <si>
    <t>DIP14_IN_SOCKET_SMD</t>
  </si>
  <si>
    <t>STM32F103C8T6_board</t>
  </si>
  <si>
    <t>blue pill</t>
  </si>
  <si>
    <t>30 В</t>
  </si>
  <si>
    <t>90 А</t>
  </si>
  <si>
    <t>RPI</t>
  </si>
  <si>
    <t>AO3400A</t>
  </si>
  <si>
    <t>Одноплатный компьютер Raspberry PI 4B</t>
  </si>
  <si>
    <t>MOSFET N-channel 2</t>
  </si>
  <si>
    <t>LTC4418</t>
  </si>
  <si>
    <t>Переключатель питания</t>
  </si>
  <si>
    <t>AO3401A</t>
  </si>
  <si>
    <t>P-канальный MOSFET</t>
  </si>
  <si>
    <t>QFN50</t>
  </si>
  <si>
    <t>Schematic\MOSFET P-channel.SchLib</t>
  </si>
  <si>
    <t>NE555</t>
  </si>
  <si>
    <t>MOSFET P-channel 2</t>
  </si>
  <si>
    <t>Таймер интегральный прецизионный</t>
  </si>
  <si>
    <t>SUD50P06-15</t>
  </si>
  <si>
    <t>LM393</t>
  </si>
  <si>
    <t>Двойной маломощный компаратор напряжения</t>
  </si>
  <si>
    <t>MOSFET P-channel 1</t>
  </si>
  <si>
    <t>LD7575</t>
  </si>
  <si>
    <t>Высоковольтный ШИМ-контроллер со схемой мягкого запуска</t>
  </si>
  <si>
    <t>MAX668</t>
  </si>
  <si>
    <t>Boost, Flyback, SEPIC преобразователь. 10-uMAX/uSOP</t>
  </si>
  <si>
    <t>AO4411</t>
  </si>
  <si>
    <t>uSOP10</t>
  </si>
  <si>
    <t>LTV354T</t>
  </si>
  <si>
    <t>Оптопара с транзисторным выходом, UMW</t>
  </si>
  <si>
    <t>Schematic\MOSFET_P-channel_8pin.SchLib</t>
  </si>
  <si>
    <t>MOSFET_P-channel_8pin</t>
  </si>
  <si>
    <t>LTV354</t>
  </si>
  <si>
    <t>SOP4-2_54</t>
  </si>
  <si>
    <t>SN74LVC1G14DCKR</t>
  </si>
  <si>
    <t>AO4812</t>
  </si>
  <si>
    <t>Одноканальный инвертор с триггером Шмитта</t>
  </si>
  <si>
    <t>Сборка из полевых транзисторов, 2N-канальный, 30 В, 6.9 А</t>
  </si>
  <si>
    <t>Schematic\AO4812.SchLib</t>
  </si>
  <si>
    <t>6.9 А</t>
  </si>
  <si>
    <t>USB2514BM2</t>
  </si>
  <si>
    <t>USB 2,0 HUB</t>
  </si>
  <si>
    <t>bc807</t>
  </si>
  <si>
    <t>Биполярный транзистор PNP 45В 0.5А 0.31Вт</t>
  </si>
  <si>
    <t>Schematic\USB2514BM2.Schlib</t>
  </si>
  <si>
    <t>Schematic\pnp.SchLib</t>
  </si>
  <si>
    <t>pnp</t>
  </si>
  <si>
    <t>VFQFN-36</t>
  </si>
  <si>
    <t>RTL8367N-VB-CG</t>
  </si>
  <si>
    <t>ETH свич 1000base-T</t>
  </si>
  <si>
    <t>45 В</t>
  </si>
  <si>
    <t>0.5 А</t>
  </si>
  <si>
    <t>AUIRF1405ZSTRL</t>
  </si>
  <si>
    <t>Транзистор полевой MOSFET N-канальный 55В 75А 330Вт</t>
  </si>
  <si>
    <t>QFN40</t>
  </si>
  <si>
    <t>CM4</t>
  </si>
  <si>
    <t>D2PAK</t>
  </si>
  <si>
    <t>Raspberry Pi Compute Module 4 (Wireless, 2GB RAM, 32GB eMMC), Одноплатный компьютер на базе процессора Broadcom BCM2711, Wi-Fi, Bluetooth</t>
  </si>
  <si>
    <t>55 В</t>
  </si>
  <si>
    <t>75 А</t>
  </si>
  <si>
    <t>SIR426DP-T1-GE3</t>
  </si>
  <si>
    <t>Транзистор полевой MOSFET N-канальный 40В 41.7Вт</t>
  </si>
  <si>
    <t>Schematic\SIR426DP-T1-GE3.SchLib</t>
  </si>
  <si>
    <t>CM4-DF40HC(3.0)-100DS-0.4v_3mm_1.5mm</t>
  </si>
  <si>
    <t>PowerPAK_SO-8</t>
  </si>
  <si>
    <t>40 В</t>
  </si>
  <si>
    <t>CM5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</si>
  <si>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</si>
  <si>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PDTC114ET</t>
  </si>
  <si>
    <t xml:space="preserve">цифровой npn 50в 100мА </t>
  </si>
  <si>
    <t>Schematic\PDTC114ET.SchLib</t>
  </si>
  <si>
    <t>CM5-DF40HC(3.0)-100DS-0.4v_3mm_1.5mm</t>
  </si>
  <si>
    <t>50 В</t>
  </si>
  <si>
    <t>https://datasheets.raspberrypi.com/cm5/cm5-datasheet.pdf</t>
  </si>
  <si>
    <t>0, 1 А</t>
  </si>
  <si>
    <t>IRFH7084</t>
  </si>
  <si>
    <t>ADP2301AUJZ-R7</t>
  </si>
  <si>
    <t>DC-DC преобразователь понижающий ADJ 1.2А</t>
  </si>
  <si>
    <t>Schematic\MOSFET_N-channel_8pin.SchLib</t>
  </si>
  <si>
    <t>MOSFET_N-channel_8pin</t>
  </si>
  <si>
    <t>PQFN_5x6</t>
  </si>
  <si>
    <t>ADP2300</t>
  </si>
  <si>
    <t>100 А</t>
  </si>
  <si>
    <t>BC857</t>
  </si>
  <si>
    <t>Биполярный транзистор PNP 45В 0.1А 0.25Вт</t>
  </si>
  <si>
    <t>Tolerance</t>
  </si>
  <si>
    <t>LM5116MH</t>
  </si>
  <si>
    <t>0.1 А</t>
  </si>
  <si>
    <t xml:space="preserve">dc-dc понижающий adj 6-100v </t>
  </si>
  <si>
    <t>IPD90P04P405</t>
  </si>
  <si>
    <t>Resistor_1.0_1_0603</t>
  </si>
  <si>
    <t>Резистор номиналом 1,0 Ом 1%</t>
  </si>
  <si>
    <t>Resistor</t>
  </si>
  <si>
    <t>HTSSOP-20</t>
  </si>
  <si>
    <t>Schematic\Resistor.SchLib</t>
  </si>
  <si>
    <t>IXDN602</t>
  </si>
  <si>
    <t>BC857BS</t>
  </si>
  <si>
    <t>1,0</t>
  </si>
  <si>
    <t>Сборка из биполярных транзисторов, 2 pnp, 45 В,  0.1А</t>
  </si>
  <si>
    <t>1%</t>
  </si>
  <si>
    <t>Двухканальный драйвер затвора для mosfet и igbt транзисторов</t>
  </si>
  <si>
    <t>Schematic\2pnp.SchLib</t>
  </si>
  <si>
    <t>Footprints/Resistors/0603R.PcbLib</t>
  </si>
  <si>
    <t>2pnp</t>
  </si>
  <si>
    <t>0603R</t>
  </si>
  <si>
    <t>SOT-363</t>
  </si>
  <si>
    <t>SOT-363_35um</t>
  </si>
  <si>
    <t>LMC555</t>
  </si>
  <si>
    <t>Таймер интегральный прецизионный КМОП</t>
  </si>
  <si>
    <t>Resistor_1.1_1_0603</t>
  </si>
  <si>
    <t>Резистор номиналом 1,1 Ом 1%</t>
  </si>
  <si>
    <t>IRF9310TR</t>
  </si>
  <si>
    <t>P-канальный MOSFET, 30 В, 20 А</t>
  </si>
  <si>
    <t>1,1</t>
  </si>
  <si>
    <t>20 А</t>
  </si>
  <si>
    <t>MC3306A</t>
  </si>
  <si>
    <t>IRFH3702</t>
  </si>
  <si>
    <t>DC-DC понижающий/повышающий преобразователь, вход: 3 - 40 В, выход: 1,25 - 40 В 1,5 А</t>
  </si>
  <si>
    <t>N-канальный MOSFET, 30 В, 16 А</t>
  </si>
  <si>
    <t>PQFN_3x3</t>
  </si>
  <si>
    <t>16 A</t>
  </si>
  <si>
    <t>Resistor_1.2_1_0603</t>
  </si>
  <si>
    <t>NVMFS5C673NL</t>
  </si>
  <si>
    <t>Резистор номиналом 1,2 Ом 1%</t>
  </si>
  <si>
    <t>RTL8367RB-VB</t>
  </si>
  <si>
    <t>N-канальный MOSFET, 60 В, 50 А</t>
  </si>
  <si>
    <t>Управляемый коммутатор второго уровня на 5+2 порта 10/100/1000M</t>
  </si>
  <si>
    <t>Schematic\MOSFET_N-channel_5pin.SchLib</t>
  </si>
  <si>
    <t>MOSFET_N-channel_5pin</t>
  </si>
  <si>
    <t>1,2</t>
  </si>
  <si>
    <t>DFN5_5x6</t>
  </si>
  <si>
    <t>RTL8367RB-VB_gost</t>
  </si>
  <si>
    <t>LQFP128_14x14_exposed_pad</t>
  </si>
  <si>
    <t>https://www.elitan.ru/pdf/1/0/1/3/3/10133013.pdf</t>
  </si>
  <si>
    <t>https://static.chipdip.ru/lib/518/DOC041518607.pdf</t>
  </si>
  <si>
    <t>TS951ILT</t>
  </si>
  <si>
    <t>Операционный усилитель Rail-to-Rail, 1-канальный</t>
  </si>
  <si>
    <t>Resistor_1.3_1_0603</t>
  </si>
  <si>
    <t>Резистор номиналом 1,3 Ом 1%</t>
  </si>
  <si>
    <t>SOT23-5</t>
  </si>
  <si>
    <t>CSD18534Q5A</t>
  </si>
  <si>
    <t>1,3</t>
  </si>
  <si>
    <t>AP63200</t>
  </si>
  <si>
    <t>DC-DC понижающий преобразователь, Vin: 3.8 - 40 В, adj, 2 А</t>
  </si>
  <si>
    <t>SON-8_5x6</t>
  </si>
  <si>
    <t>TSOT26</t>
  </si>
  <si>
    <t>https://static.chipdip.ru/lib/647/DOC053647214.pdf</t>
  </si>
  <si>
    <t>74HC74D,653</t>
  </si>
  <si>
    <t>Resistor_1.5_1_0603</t>
  </si>
  <si>
    <t>Резистор номиналом 1,5 Ом 1%</t>
  </si>
  <si>
    <t>SOIC-14</t>
  </si>
  <si>
    <t>1,5</t>
  </si>
  <si>
    <t>AP63203</t>
  </si>
  <si>
    <t>DC-DC понижающий преобразователь, Vin: 3.8 - 40 В; 3,3 В; 2 А</t>
  </si>
  <si>
    <t>IRS21867</t>
  </si>
  <si>
    <t>Полумостовой драйвер затвора для mosfet и igbt транзисторов</t>
  </si>
  <si>
    <t>Resistor_1.6_1_0603</t>
  </si>
  <si>
    <t>https://cdn.promelec.ru/upload/datasheet/1/3/Infineon-IRS21867-DS-v01_01-EN.pdf</t>
  </si>
  <si>
    <t>Резистор номиналом 1,6 Ом 1%</t>
  </si>
  <si>
    <t>1,6</t>
  </si>
  <si>
    <t>CM5116000</t>
  </si>
  <si>
    <t xml:space="preserve">Raspberry-Pi Cm5 16Gb RAM, 0Gb eMMC, Wifibt </t>
  </si>
  <si>
    <t>Resistor_1.8_1_0603</t>
  </si>
  <si>
    <t>Резистор номиналом 1,8 Ом 1%</t>
  </si>
  <si>
    <t>1,8</t>
  </si>
  <si>
    <t>https://pip-assets.raspberrypi.com/categories/944-raspberry-pi-compute-module-5/documents/RP-008180-DS-6-cm5-datasheet.pdf?disposition=inline</t>
  </si>
  <si>
    <t>ST1S40IPUR</t>
  </si>
  <si>
    <t>Преобразователь постоянного тока понижающий синхронный подстраиваемый 3А</t>
  </si>
  <si>
    <t>VFQFPN8-4X4</t>
  </si>
  <si>
    <t>Resistor_2.0_1_0603</t>
  </si>
  <si>
    <t>https://cdn.promelec.ru/upload/datasheet/6/4/CD00284753.pdf</t>
  </si>
  <si>
    <t>Резистор номиналом 2,0 Ом 1%</t>
  </si>
  <si>
    <t>2,0</t>
  </si>
  <si>
    <t>MT9700</t>
  </si>
  <si>
    <t>Силовой ключ с настраиваемым ограничением тока, 2А(max), SOT-23-5</t>
  </si>
  <si>
    <t>Resistor_2.2_1_0603</t>
  </si>
  <si>
    <t>https://static.chipdip.ru/lib/498/DOC013498591.pdf</t>
  </si>
  <si>
    <t>NSi8100NC</t>
  </si>
  <si>
    <t>Цифровой двунаравленный изолятор 2 канала</t>
  </si>
  <si>
    <t>Резистор номиналом 2,2 Ом 1%</t>
  </si>
  <si>
    <t>2,2</t>
  </si>
  <si>
    <t>https://cdn.promelec.ru/upload/items/2023/10/13/NSi8100NC_.pdf</t>
  </si>
  <si>
    <t>Gidrogleb</t>
  </si>
  <si>
    <t>UCC27211</t>
  </si>
  <si>
    <t>Resistor_2.4_1_0603</t>
  </si>
  <si>
    <t>Полумостовой драйвер затвора для mosfet транзисторов</t>
  </si>
  <si>
    <t>Резистор номиналом 2,4 Ом 1%</t>
  </si>
  <si>
    <t>2,4</t>
  </si>
  <si>
    <t>https://static.chipdip.ru/lib/348/DOC032348430.pdf</t>
  </si>
  <si>
    <t>AD8656</t>
  </si>
  <si>
    <t>Операционный усилитель 28МГц, CMOS, 2-канала, Rail-to-Rail</t>
  </si>
  <si>
    <t>Resistor_2.7_1_0603</t>
  </si>
  <si>
    <t>Резистор номиналом 2,7 Ом 1%</t>
  </si>
  <si>
    <t>2,7</t>
  </si>
  <si>
    <t>MSOP-8</t>
  </si>
  <si>
    <t>https://static.chipdip.ru/lib/442/DOC011442004.pdf</t>
  </si>
  <si>
    <t>Resistor_3.0_1_0603</t>
  </si>
  <si>
    <t>Резистор номиналом 3,0 Ом 1%</t>
  </si>
  <si>
    <t>STM32H743VIT6</t>
  </si>
  <si>
    <t>Микроконтроллер, 32-Бит, Cortex-M7, 480МГц, 2Мб Flash, 1Мб SRAM, 82 I/O</t>
  </si>
  <si>
    <t>3,0</t>
  </si>
  <si>
    <t>https://static.chipdip.ru/lib/529/DOC010529789.pdf</t>
  </si>
  <si>
    <t>Resistor_3.3_1_0603</t>
  </si>
  <si>
    <t>AD8031</t>
  </si>
  <si>
    <t>Резистор номиналом 3,3 Ом 1%</t>
  </si>
  <si>
    <t>Операционный усилитель, 80МГц, 1-канал, 35В/мкс, Voltage Feedback, Rail-to-Rail</t>
  </si>
  <si>
    <t>3,3</t>
  </si>
  <si>
    <t>https://static.chipdip.ru/lib/262/DOC005262075.pdf</t>
  </si>
  <si>
    <t>Resistor_3.6_1_0603</t>
  </si>
  <si>
    <t>Резистор номиналом 3,6 Ом 1%</t>
  </si>
  <si>
    <t>AP63205</t>
  </si>
  <si>
    <t>DC-DC понижающий преобразователь, Vin: 3.8 - 40 В; 5 В; 2 А</t>
  </si>
  <si>
    <t>3,6</t>
  </si>
  <si>
    <t>https://static.chipdip.ru/lib/416/DOC012416105.pdf</t>
  </si>
  <si>
    <t>Resistor_3.9_1_0603</t>
  </si>
  <si>
    <t>Резистор номиналом 3,9 Ом 1%</t>
  </si>
  <si>
    <t>3,9</t>
  </si>
  <si>
    <t>ADP150AUJZ-3.3</t>
  </si>
  <si>
    <t xml:space="preserve">Стабилизатор напряжения 3.3В 150мА </t>
  </si>
  <si>
    <t>Resistor_4.3_1_0603</t>
  </si>
  <si>
    <t>Резистор номиналом 4,3 Ом 1%</t>
  </si>
  <si>
    <t>4,3</t>
  </si>
  <si>
    <t>https://static.chipdip.ru/lib/986/DOC003986581.pdf</t>
  </si>
  <si>
    <t xml:space="preserve">Current </t>
  </si>
  <si>
    <t>Resistor_4.7_1_0603</t>
  </si>
  <si>
    <t>S2M</t>
  </si>
  <si>
    <t>Резистор номиналом 4,7 Ом 1%</t>
  </si>
  <si>
    <t>REF3030AIDBZR</t>
  </si>
  <si>
    <t>4,7</t>
  </si>
  <si>
    <t>Источник опорного напряжения, 3В</t>
  </si>
  <si>
    <t>Schematic\Rectifier_diode.schLib</t>
  </si>
  <si>
    <t>Rectifier_diode</t>
  </si>
  <si>
    <t>https://static.chipdip.ru/lib/248/DOC000248445.pdf</t>
  </si>
  <si>
    <t>Resistor_5.1_1_0603</t>
  </si>
  <si>
    <t>Резистор номиналом 5,1 Ом 1%</t>
  </si>
  <si>
    <t>5,1</t>
  </si>
  <si>
    <t>MAX3051EKA+T</t>
  </si>
  <si>
    <t>CAN трансивер 1Mbps +3.3В</t>
  </si>
  <si>
    <t>ES1D-E3/61T</t>
  </si>
  <si>
    <t>Диод 1A 200V</t>
  </si>
  <si>
    <t>Footprints\SMA.PcbLib</t>
  </si>
  <si>
    <t>Resistor_5.6_1_0603</t>
  </si>
  <si>
    <t>SOT23-8</t>
  </si>
  <si>
    <t>https://static.chipdip.ru/lib/876/DOC015876362.pdf</t>
  </si>
  <si>
    <t>Резистор номиналом 5,6 Ом 1%</t>
  </si>
  <si>
    <t>200</t>
  </si>
  <si>
    <t>1 А</t>
  </si>
  <si>
    <t>S1GFL</t>
  </si>
  <si>
    <t>5,6</t>
  </si>
  <si>
    <t>Диод 400В 1A [SOD-123F]</t>
  </si>
  <si>
    <t>ATTINY412</t>
  </si>
  <si>
    <t>Footprints\SOD-123F.PcbLib</t>
  </si>
  <si>
    <t>SOD-123F</t>
  </si>
  <si>
    <t>https://static.chipdip.ru/lib/868/DOC011868843.pdf</t>
  </si>
  <si>
    <t>Resistor_6.2_1_0603</t>
  </si>
  <si>
    <t>Резистор номиналом 6,2 Ом 1%</t>
  </si>
  <si>
    <t>https://static.chipdip.ru/lib/607/DOC011607871.pdf</t>
  </si>
  <si>
    <t>6,2</t>
  </si>
  <si>
    <t>klegot</t>
  </si>
  <si>
    <t>CH340N</t>
  </si>
  <si>
    <t>Преобразователь интерфейса USB в UART</t>
  </si>
  <si>
    <t>SMA4007</t>
  </si>
  <si>
    <t>https://static.chipdip.ru/lib/375/DOC030375417.pdf</t>
  </si>
  <si>
    <t>Resistor_6.8_1_0603</t>
  </si>
  <si>
    <t>Резистор номиналом 6,8 Ом 1%</t>
  </si>
  <si>
    <t>6,8</t>
  </si>
  <si>
    <t>https://static.chipdip.ru/lib/867/DOC050867185.pdf</t>
  </si>
  <si>
    <t>MAX809</t>
  </si>
  <si>
    <t>Формирователь импульса сброса (супервизор питания)</t>
  </si>
  <si>
    <t>BAV99</t>
  </si>
  <si>
    <t>Resistor_7.5_1_0603</t>
  </si>
  <si>
    <t>Диод импульсный, 2 х 0.2А, 70В, последовательное включение</t>
  </si>
  <si>
    <t>Резистор номиналом 7,5 Ом 1%</t>
  </si>
  <si>
    <t>Schematic\Rectifier_diode_2.schLib</t>
  </si>
  <si>
    <t>Rectifier_diode_2</t>
  </si>
  <si>
    <t>7,5</t>
  </si>
  <si>
    <t>https://static.chipdip.ru/lib/848/DOC018848681.pdf</t>
  </si>
  <si>
    <t>XT4052</t>
  </si>
  <si>
    <t>0.2</t>
  </si>
  <si>
    <t>https://static.chipdip.ru/lib/931/DOC030931559.pdf</t>
  </si>
  <si>
    <t>Контроллер заряда Li-Ion аккумуляторов, 4.2 В</t>
  </si>
  <si>
    <t>Resistor_8.2_1_0603</t>
  </si>
  <si>
    <t>Резистор номиналом 8,2 Ом 1%</t>
  </si>
  <si>
    <t>https://orion43.ru/datasheets/34208.pdf?ysclid=mr598nxlrz92742175</t>
  </si>
  <si>
    <t>WS2812B</t>
  </si>
  <si>
    <t>Адресный светодиод</t>
  </si>
  <si>
    <t>8,2</t>
  </si>
  <si>
    <t>LED_RGB_5MM</t>
  </si>
  <si>
    <t>https://static.chipdip.ru/lib/554/DOC001554925.pdf</t>
  </si>
  <si>
    <t>LM317</t>
  </si>
  <si>
    <t>Resistor_9.1_1_0603</t>
  </si>
  <si>
    <t>Резистор номиналом 9,1 Ом 1%</t>
  </si>
  <si>
    <t>9,1</t>
  </si>
  <si>
    <t>Footprints\TO-220.PcbLib</t>
  </si>
  <si>
    <t>TO-220</t>
  </si>
  <si>
    <t>https://www.onsemi.com/pdf/datasheet/lm317-d.pdf</t>
  </si>
  <si>
    <t>Resistor_10_1_0603</t>
  </si>
  <si>
    <t>Резистор номиналом 10 Ом 1%</t>
  </si>
  <si>
    <t>Resistor_11_1_0603</t>
  </si>
  <si>
    <t>Footprint Path 4</t>
  </si>
  <si>
    <t>Резистор номиналом 11 Ом 1%</t>
  </si>
  <si>
    <t>Footprint Ref 4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</si>
  <si>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</si>
  <si>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</si>
  <si>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</si>
  <si>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</si>
  <si>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</si>
  <si>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</si>
  <si>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Capacitor</t>
  </si>
  <si>
    <t>Конденсатор</t>
  </si>
  <si>
    <t>Resistor_12_1_0603</t>
  </si>
  <si>
    <t>Резистор номиналом 12 Ом 1%</t>
  </si>
  <si>
    <t>Schematic\Capacitor.SchLib</t>
  </si>
  <si>
    <t>0,1 мк</t>
  </si>
  <si>
    <t>Footprints\Capacitors\0603C.PcbLib</t>
  </si>
  <si>
    <t>0603C</t>
  </si>
  <si>
    <t>Footprints\Capacitors\0805C.PcbLib</t>
  </si>
  <si>
    <t>0805C</t>
  </si>
  <si>
    <t>Footprints\Capacitors\1210С.PcbLib</t>
  </si>
  <si>
    <t>1210С</t>
  </si>
  <si>
    <t>Resistor_13_1_0603</t>
  </si>
  <si>
    <t>Резистор номиналом 13 Ом 1%</t>
  </si>
  <si>
    <t>13</t>
  </si>
  <si>
    <t>Capacitor_polar</t>
  </si>
  <si>
    <t>Полярный конденсатор</t>
  </si>
  <si>
    <t>Schematic\Capacitor_polar.SchLib</t>
  </si>
  <si>
    <t>4,7 мк</t>
  </si>
  <si>
    <t>Footprints\Capacitors\TC_A.PcbLib</t>
  </si>
  <si>
    <t>TC_A</t>
  </si>
  <si>
    <t>Footprints\Capacitors\TC_B.PcbLib</t>
  </si>
  <si>
    <t>TC_B</t>
  </si>
  <si>
    <t>Resistor_15_1_0603</t>
  </si>
  <si>
    <t>Footprints\Capacitors\TC_C.PcbLib</t>
  </si>
  <si>
    <t>Резистор номиналом 15 Ом 1%</t>
  </si>
  <si>
    <t>TC_C</t>
  </si>
  <si>
    <t>Footprints\Capacitors\TC_D.PcbLib</t>
  </si>
  <si>
    <t>TC_D</t>
  </si>
  <si>
    <t>15</t>
  </si>
  <si>
    <t>Footprints\Capacitors\TC_E.PcbLib</t>
  </si>
  <si>
    <t>TC_E</t>
  </si>
  <si>
    <t>Footprints\Capacitors\RADIAL-2_8mm.PcbLib</t>
  </si>
  <si>
    <t>RADIAL-2_8mm</t>
  </si>
  <si>
    <t>Footprints\Capacitors\RADIAL-2_10mm.PcbLib</t>
  </si>
  <si>
    <t>RADIAL-2_10mm</t>
  </si>
  <si>
    <t>Resistor_16_1_0603</t>
  </si>
  <si>
    <t>Резистор номиналом 16 Ом 1%</t>
  </si>
  <si>
    <t>16</t>
  </si>
  <si>
    <t>Resistor_18_1_0603</t>
  </si>
  <si>
    <t>Резистор номиналом 18 Ом 1%</t>
  </si>
  <si>
    <t>18</t>
  </si>
  <si>
    <t>Dielectric</t>
  </si>
  <si>
    <t>Capacity (nF)</t>
  </si>
  <si>
    <t>Resistor_20_1_0603</t>
  </si>
  <si>
    <t>Резистор номиналом 20 Ом 1%</t>
  </si>
  <si>
    <t>Capacitor_0,01n_10_50V_X7R_0603C</t>
  </si>
  <si>
    <t>0,01 н</t>
  </si>
  <si>
    <t>10%</t>
  </si>
  <si>
    <t>Resistor_22_1_0603</t>
  </si>
  <si>
    <t>Резистор номиналом 22 Ом 1%</t>
  </si>
  <si>
    <t>X7R</t>
  </si>
  <si>
    <t>0,01</t>
  </si>
  <si>
    <t>22</t>
  </si>
  <si>
    <t>Capacitor_100p_10_50V_X7R_0603C</t>
  </si>
  <si>
    <t>100 п</t>
  </si>
  <si>
    <t>Resistor_24_1_0603</t>
  </si>
  <si>
    <t>Резистор номиналом 24 Ом 1%</t>
  </si>
  <si>
    <t>0,1</t>
  </si>
  <si>
    <t>Capacitor_0,15n_10_50V_X7R_0603C</t>
  </si>
  <si>
    <t>24</t>
  </si>
  <si>
    <t>0,15 н</t>
  </si>
  <si>
    <t>0,15</t>
  </si>
  <si>
    <t>Resistor_27_1_0603</t>
  </si>
  <si>
    <t>Резистор номиналом 27 Ом 1%</t>
  </si>
  <si>
    <t>Capacitor_0,75n_10_50V_X7R_0603C</t>
  </si>
  <si>
    <t>27</t>
  </si>
  <si>
    <t>Resistor_30_1_0603</t>
  </si>
  <si>
    <t>0,75 н</t>
  </si>
  <si>
    <t>Резистор номиналом 30 Ом 1%</t>
  </si>
  <si>
    <t>30</t>
  </si>
  <si>
    <t>0,75</t>
  </si>
  <si>
    <t>Capacitor_1n_10_50V_X7R_0603C</t>
  </si>
  <si>
    <t>Resistor_33_1_0603</t>
  </si>
  <si>
    <t>Резистор номиналом 33 Ом 1%</t>
  </si>
  <si>
    <t>Type</t>
  </si>
  <si>
    <t>33</t>
  </si>
  <si>
    <t>1 н</t>
  </si>
  <si>
    <t>Capacity (uF)</t>
  </si>
  <si>
    <t>Capacitor_1,2n_10_50V_X7R_0603C</t>
  </si>
  <si>
    <t>Capacitor_1u_10_50V_TC_A</t>
  </si>
  <si>
    <t>Танталовый конденсатор</t>
  </si>
  <si>
    <t>Resistor_36_1_0603</t>
  </si>
  <si>
    <t>Резистор номиналом 36 Ом 1%</t>
  </si>
  <si>
    <t>1,2 н</t>
  </si>
  <si>
    <t>1 мк</t>
  </si>
  <si>
    <t>Tantalum</t>
  </si>
  <si>
    <t>36</t>
  </si>
  <si>
    <t>Capacitor_1,5u_10_50V_TC_A</t>
  </si>
  <si>
    <t>Capacitor_1,5n_10_50V_X7R_0603C</t>
  </si>
  <si>
    <t>1,5 мк</t>
  </si>
  <si>
    <t>Resistor_39_1_0603</t>
  </si>
  <si>
    <t>Capacitor_2,2u_10_50V_TC_A</t>
  </si>
  <si>
    <t>1,5 н</t>
  </si>
  <si>
    <t>2,2 мк</t>
  </si>
  <si>
    <t>Резистор номиналом 39 Ом 1%</t>
  </si>
  <si>
    <t>39</t>
  </si>
  <si>
    <t>Capacitor_1,8n_10_50V_X7R_0603C</t>
  </si>
  <si>
    <t>1,8 н</t>
  </si>
  <si>
    <t>Capacitor_3,3u_10_50V_TC_A</t>
  </si>
  <si>
    <t>3,3 мк</t>
  </si>
  <si>
    <t>Resistor_43_1_0603</t>
  </si>
  <si>
    <t>Резистор номиналом 43 Ом 1%</t>
  </si>
  <si>
    <t>Capacitor_2,2n_10_50V_X7R_0603C</t>
  </si>
  <si>
    <t>Capacitor_4,7u_10_50V_TC_A</t>
  </si>
  <si>
    <t>43</t>
  </si>
  <si>
    <t>2,2 н</t>
  </si>
  <si>
    <t>Capacitor_6,8u_10_50V_TC_A</t>
  </si>
  <si>
    <t>6,8 мк</t>
  </si>
  <si>
    <t>Resistor_47_1_0603</t>
  </si>
  <si>
    <t>Capacitor_2,7n_10_50V_X7R_0603C</t>
  </si>
  <si>
    <t>Резистор номиналом 47 Ом 1%</t>
  </si>
  <si>
    <t>Capacitor_10u_10_50V_TC_A</t>
  </si>
  <si>
    <t>47</t>
  </si>
  <si>
    <t>2,7 н</t>
  </si>
  <si>
    <t>10 мк</t>
  </si>
  <si>
    <t>Capacitor_15u_10_50V_TC_A</t>
  </si>
  <si>
    <t>Resistor_51_1_0603</t>
  </si>
  <si>
    <t>15 мк</t>
  </si>
  <si>
    <t>Резистор номиналом 51 Ом 1%</t>
  </si>
  <si>
    <t>Capacitor_3,3n_10_50V_X7R_0603C</t>
  </si>
  <si>
    <t>51</t>
  </si>
  <si>
    <t>Capacitor_22u_10_50V_TC_A</t>
  </si>
  <si>
    <t>3,3 н</t>
  </si>
  <si>
    <t>22 мк</t>
  </si>
  <si>
    <t>Resistor_56_1_0603</t>
  </si>
  <si>
    <t>Резистор номиналом 56 Ом 1%</t>
  </si>
  <si>
    <t>Capacitor_3,9n_10_50V_X7R_0603C</t>
  </si>
  <si>
    <t>Capacitor_33u_10_50V_TC_A</t>
  </si>
  <si>
    <t>56</t>
  </si>
  <si>
    <t>3,9 н</t>
  </si>
  <si>
    <t>33 мк</t>
  </si>
  <si>
    <t>Resistor_62_1_0603</t>
  </si>
  <si>
    <t>Capacitor_4,7n_10_50V_X7R_0603C</t>
  </si>
  <si>
    <t>Capacitor_47u_10_50V_TC_A</t>
  </si>
  <si>
    <t>Резистор номиналом 62 Ом 1%</t>
  </si>
  <si>
    <t>62</t>
  </si>
  <si>
    <t>4,7 н</t>
  </si>
  <si>
    <t>47 мк</t>
  </si>
  <si>
    <t>Capacitor_5,6n_10_50V_X7R_0603C</t>
  </si>
  <si>
    <t>Capacitor_68u_10_50V_TC_A</t>
  </si>
  <si>
    <t>Resistor_68_1_0603</t>
  </si>
  <si>
    <t>Резистор номиналом 68 Ом 1%</t>
  </si>
  <si>
    <t>5,6 н</t>
  </si>
  <si>
    <t>68</t>
  </si>
  <si>
    <t>68 мк</t>
  </si>
  <si>
    <t>Capacitor_100u_10_50V_TC_A</t>
  </si>
  <si>
    <t>Capacitor_6,8n_10_50V_X7R_0603C</t>
  </si>
  <si>
    <t>100 мк</t>
  </si>
  <si>
    <t>Resistor_75_1_0603</t>
  </si>
  <si>
    <t>Резистор номиналом 75 Ом 1%</t>
  </si>
  <si>
    <t>6,8 н</t>
  </si>
  <si>
    <t>75</t>
  </si>
  <si>
    <t>Capacitor_150u_10_50V_TC_A</t>
  </si>
  <si>
    <t>Capacitor_8,2n_10_50V_X7R_0603C</t>
  </si>
  <si>
    <t>150 мк</t>
  </si>
  <si>
    <t>Resistor_82_1_0603</t>
  </si>
  <si>
    <t>Резистор номиналом 82 Ом 1%</t>
  </si>
  <si>
    <t>Capacitor_220u_10_50V_TC_A</t>
  </si>
  <si>
    <t>8,2 н</t>
  </si>
  <si>
    <t>82</t>
  </si>
  <si>
    <t>220 мк</t>
  </si>
  <si>
    <t>Inductance (μH)</t>
  </si>
  <si>
    <t>Capacitor_10n_10_50V_X7R_0603C</t>
  </si>
  <si>
    <t>Capacitor_330u_10_50V_TC_A</t>
  </si>
  <si>
    <t>10 н</t>
  </si>
  <si>
    <t>Resistor_91_1_0603</t>
  </si>
  <si>
    <t>330 мк</t>
  </si>
  <si>
    <t>Резистор номиналом 91 Ом 1%</t>
  </si>
  <si>
    <t>91</t>
  </si>
  <si>
    <t>Inductance</t>
  </si>
  <si>
    <t>Capacitor_470u_10_50V_TC_A</t>
  </si>
  <si>
    <t>Катушка индуктивности</t>
  </si>
  <si>
    <t>Capacitor_12n_10_50V_X7R_0603C</t>
  </si>
  <si>
    <t>470 мк</t>
  </si>
  <si>
    <t>12 н</t>
  </si>
  <si>
    <t>Resistor_100_1_0603</t>
  </si>
  <si>
    <t>Резистор номиналом 100 Ом 1%</t>
  </si>
  <si>
    <t>Schematic\Inductance.SchLib</t>
  </si>
  <si>
    <t>Capacitor_680u_10_50V_TC_A</t>
  </si>
  <si>
    <t>100</t>
  </si>
  <si>
    <t>Capacitor_15n_10_50V_X7R_0603C</t>
  </si>
  <si>
    <t>680 мк</t>
  </si>
  <si>
    <t>15 н</t>
  </si>
  <si>
    <t>0603L</t>
  </si>
  <si>
    <t>Resistor_110_1_0603</t>
  </si>
  <si>
    <t>Capacitor_1000u_10_50V_TC_A</t>
  </si>
  <si>
    <t>Резистор номиналом 110 Ом 1%</t>
  </si>
  <si>
    <t>1210L</t>
  </si>
  <si>
    <t>Capacitor_18n_10_50V_X7R_0603C</t>
  </si>
  <si>
    <t>110</t>
  </si>
  <si>
    <t>1000 мк</t>
  </si>
  <si>
    <t>18 н</t>
  </si>
  <si>
    <t>1212L</t>
  </si>
  <si>
    <t>Capacitor_2200u_10V_10x20</t>
  </si>
  <si>
    <t>Конденсатор радиальный 2200мкФ 10В ±20% 10*19</t>
  </si>
  <si>
    <t>2200 мк</t>
  </si>
  <si>
    <t>Resistor_120_1_0603</t>
  </si>
  <si>
    <t>12.8x12.8</t>
  </si>
  <si>
    <t>Резистор номиналом 120 Ом 1%</t>
  </si>
  <si>
    <t>Aluminum</t>
  </si>
  <si>
    <t>Footprints\Capacitors\10x20_radial.PcbLib</t>
  </si>
  <si>
    <t>Capacitor_22n_10_50V_X7R_0603C</t>
  </si>
  <si>
    <t>10x20_radial</t>
  </si>
  <si>
    <t>Footprints\Capacitors\10x20_radial_angular.PcbLib</t>
  </si>
  <si>
    <t>10x20_radial_angular</t>
  </si>
  <si>
    <t>120</t>
  </si>
  <si>
    <t>EEVFK1E102Q</t>
  </si>
  <si>
    <t>22 н</t>
  </si>
  <si>
    <t>Конденсатор алюминиевый электролитический 1000мкФ 25В 20% Low ESR 1100мА SMD12.5x13.5мм</t>
  </si>
  <si>
    <t>IHLP4040DZER330M11</t>
  </si>
  <si>
    <t>ЧИП-индуктивность экранированная 33мкГн ±20% 4,4A 94,5мОм 4040</t>
  </si>
  <si>
    <t>Footprints/Resistors/1206R.PcbLib</t>
  </si>
  <si>
    <t>1206R</t>
  </si>
  <si>
    <t>SMD Aluminum</t>
  </si>
  <si>
    <t>Footprints\Capacitors\SMD_cap_12,5x13,5.PcbLib</t>
  </si>
  <si>
    <t>Capacitor_27n_10_50V_X7R_0603C</t>
  </si>
  <si>
    <t>SMD_cap_12,5x13,5</t>
  </si>
  <si>
    <t>EEVFK1V102M</t>
  </si>
  <si>
    <t>IHLP-4040</t>
  </si>
  <si>
    <t>27 н</t>
  </si>
  <si>
    <t>Resistor_130_1_0603</t>
  </si>
  <si>
    <t>Резистор номиналом 130 Ом 1%</t>
  </si>
  <si>
    <t>130</t>
  </si>
  <si>
    <t>Footprints\Capacitors\CAP_EEVFK1V102M.PcbLib</t>
  </si>
  <si>
    <t>Capacitor_33n_10_50V_X7R_0603C</t>
  </si>
  <si>
    <t>CAP_EEVFK1V102M</t>
  </si>
  <si>
    <t>JRB2G3R3M03500800120000B</t>
  </si>
  <si>
    <t>4,4 А</t>
  </si>
  <si>
    <t>К50-35, 3.3мкФ, 400В, 105°C, 20%, 8x12мм P:3.5мм</t>
  </si>
  <si>
    <t>33 н</t>
  </si>
  <si>
    <t>3.3 мк</t>
  </si>
  <si>
    <t>Resistor_150_1_0603</t>
  </si>
  <si>
    <t>Footprints\Capacitors\8x12_radial.PcbLib</t>
  </si>
  <si>
    <t>Резистор номиналом 150 Ом 1%</t>
  </si>
  <si>
    <t>8x12_radial</t>
  </si>
  <si>
    <t>B82472G6683M</t>
  </si>
  <si>
    <t>Footprints\Capacitors\8x12_radial_angular.PcbLib</t>
  </si>
  <si>
    <t>8x12_radial_angular</t>
  </si>
  <si>
    <t>Capacitor_39n_10_50V_X7R_0603C</t>
  </si>
  <si>
    <t>150</t>
  </si>
  <si>
    <t>JCCON 2700uF 400V</t>
  </si>
  <si>
    <t xml:space="preserve">Конденсатор алюминиевый электролитический 2700мкФ 400В 20% </t>
  </si>
  <si>
    <t>39 н</t>
  </si>
  <si>
    <t>2700 мк</t>
  </si>
  <si>
    <t>Resistor_160_1_0603</t>
  </si>
  <si>
    <t>Резистор номиналом 160 Ом 1%</t>
  </si>
  <si>
    <t>Footprints\Capacitors\42x103_radial.PcbLib</t>
  </si>
  <si>
    <t>42x103_radial</t>
  </si>
  <si>
    <t>Capacitor_47n_10_50V_X7R_0603C</t>
  </si>
  <si>
    <t>160</t>
  </si>
  <si>
    <t>JCK1V331</t>
  </si>
  <si>
    <t>47 н</t>
  </si>
  <si>
    <t>7.3x7.3</t>
  </si>
  <si>
    <t>Footprints\Capacitors\ECAP_SMD_10,3x10,3.PcbLib</t>
  </si>
  <si>
    <t>ECAP_SMD_10,3x10,3</t>
  </si>
  <si>
    <t>Resistor_180_1_0603</t>
  </si>
  <si>
    <t>Резистор номиналом 180 Ом 1%</t>
  </si>
  <si>
    <t>JCK1V101</t>
  </si>
  <si>
    <t>Capacitor_56n_10_50V_X7R_0603C</t>
  </si>
  <si>
    <t>Конденсатор алюминиевый электролитический 100мкФ 35В 20% SMD 6,6x6,6 мм</t>
  </si>
  <si>
    <t>180</t>
  </si>
  <si>
    <t>0,82 А</t>
  </si>
  <si>
    <t>Footprints\Capacitors\ECAP_SMD_6,6x6,6.PcbLib</t>
  </si>
  <si>
    <t>ECAP_SMD_6,6x6,6</t>
  </si>
  <si>
    <t>56 н</t>
  </si>
  <si>
    <t>CK016M471G10PKKKV00R</t>
  </si>
  <si>
    <t>Конденсатор алюминиевый электролитический 470мкФ 16В ±20% (10х10)мм SMD 460мА 2000часов 105°C</t>
  </si>
  <si>
    <t>IHLP2525CZER4R7M01</t>
  </si>
  <si>
    <t>ЧИП-индуктивность экранированная 4,7мкГн ±20% 5,5A 40мОм 2525</t>
  </si>
  <si>
    <t>Resistor_200_1_0603</t>
  </si>
  <si>
    <t>Резистор номиналом 200 Ом 1%</t>
  </si>
  <si>
    <t>Capacitor_68n_10_50V_X7R_0603C</t>
  </si>
  <si>
    <t>68 н</t>
  </si>
  <si>
    <t>https://cdn.promelec.ru/upload/items/2023/12/25/suscon-ck.pdf</t>
  </si>
  <si>
    <t>35SVPF120M</t>
  </si>
  <si>
    <t>Полимерный алюминиевый конденсатор 120мкФ 35В 10x12,6мм 4400мА 5000часов 105°C</t>
  </si>
  <si>
    <t>Capacitor_82n_10_50V_X7R_0603C</t>
  </si>
  <si>
    <t>IHLP-2525</t>
  </si>
  <si>
    <t>120 мк</t>
  </si>
  <si>
    <t>Footprints\Capacitors\CAP_SMD_10x12,7.PcbLib</t>
  </si>
  <si>
    <t>CAP_SMD_10x12,7</t>
  </si>
  <si>
    <t>82 н</t>
  </si>
  <si>
    <t>Resistor_220_1_0603</t>
  </si>
  <si>
    <t>https://cdn.promelec.ru/upload/datasheet/6/a/AAB8000C177.pdf</t>
  </si>
  <si>
    <t>Резистор номиналом 220 Ом 1%</t>
  </si>
  <si>
    <t>Capacitor_0,1u_10_50V_X7R_0603C</t>
  </si>
  <si>
    <t>220</t>
  </si>
  <si>
    <t>Footprints/Resistors/RES_THT_025W.PcbLib</t>
  </si>
  <si>
    <t>5,5 А</t>
  </si>
  <si>
    <t>50SVPF68M</t>
  </si>
  <si>
    <t>RES_THT_025W_220</t>
  </si>
  <si>
    <t>Конденсатор алюминиевый полимерный 68мкФ 50В ±20% (10х12.6мм) для поверхностного монтажа 0.02Ом 4300мА 5000час 105°С</t>
  </si>
  <si>
    <t>IHLP4040DZER220M11</t>
  </si>
  <si>
    <t>ЧИП-индуктивность экранированная 22мкГн ±20% 5A 66мОм 4040 лента на катушке</t>
  </si>
  <si>
    <t>Capacitor_0,12u_10_50V_X7R_0603C</t>
  </si>
  <si>
    <t>Resistor_240_1_0603</t>
  </si>
  <si>
    <t>Резистор номиналом 240 Ом 1%</t>
  </si>
  <si>
    <t>0,12 мк</t>
  </si>
  <si>
    <t>http://cdn.promelec.ru/upload/items/2022/11/10/SVPF-Series_.pdf</t>
  </si>
  <si>
    <t>240</t>
  </si>
  <si>
    <t>Capacitor_0,15u_10_50V_X7R_0603C</t>
  </si>
  <si>
    <t>B82462G4223M</t>
  </si>
  <si>
    <t>0,15 мк</t>
  </si>
  <si>
    <t xml:space="preserve">ЧИП-индуктивность 22мкГн, 1.05A, ±20% </t>
  </si>
  <si>
    <t>B82462G4</t>
  </si>
  <si>
    <t>Resistor_270_1_0603</t>
  </si>
  <si>
    <t>Capacitor_0,18u_10_50V_X7R_0603C</t>
  </si>
  <si>
    <t>Резистор номиналом 270 Ом 1%</t>
  </si>
  <si>
    <t>270</t>
  </si>
  <si>
    <t>0,18 мк</t>
  </si>
  <si>
    <t>1,05 А</t>
  </si>
  <si>
    <t>RES_THT_025W_270</t>
  </si>
  <si>
    <t>CSAB0530-R33M</t>
  </si>
  <si>
    <t>Capacitor_0,22u_10_50V_X7R_0603C</t>
  </si>
  <si>
    <t xml:space="preserve">ЧИП-индуктивность 0.33мкГн, 15A, ±20% </t>
  </si>
  <si>
    <t>0,22 мк</t>
  </si>
  <si>
    <t>Resistor_300_1_0603</t>
  </si>
  <si>
    <t>Резистор номиналом 300 Ом 1%</t>
  </si>
  <si>
    <t>CSAB0530</t>
  </si>
  <si>
    <t>300</t>
  </si>
  <si>
    <t>Capacitor_0,27u_10_50V_X7R_0603C</t>
  </si>
  <si>
    <t>0,27 мк</t>
  </si>
  <si>
    <t>15 А</t>
  </si>
  <si>
    <t>B82477R4683M100</t>
  </si>
  <si>
    <t>Resistor_330_1_0603</t>
  </si>
  <si>
    <t>Резистор номиналом 330 Ом 1%</t>
  </si>
  <si>
    <t>Capacitor_0,33u_10_50V_X7R_0603C</t>
  </si>
  <si>
    <t>330</t>
  </si>
  <si>
    <t>0,33 мк</t>
  </si>
  <si>
    <t>12.5x12.5</t>
  </si>
  <si>
    <t>Capacitor_0,39u_10_50V_X7R_0603C</t>
  </si>
  <si>
    <t>Resistor_360_1_0603</t>
  </si>
  <si>
    <t>Резистор номиналом 360 Ом 1%</t>
  </si>
  <si>
    <t>0,39 мк</t>
  </si>
  <si>
    <t>360</t>
  </si>
  <si>
    <t>2,65 А</t>
  </si>
  <si>
    <t>Capacitor_0,47u_10_50V_X7R_0603C</t>
  </si>
  <si>
    <t>SDR0403-120ML</t>
  </si>
  <si>
    <t>0,47 мк</t>
  </si>
  <si>
    <t>Resistor_390_1_0603</t>
  </si>
  <si>
    <t>4.5x4_wired</t>
  </si>
  <si>
    <t>Capacitor_0,56u_10_50V_X7R_0603C</t>
  </si>
  <si>
    <t>Резистор номиналом 390 Ом 1%</t>
  </si>
  <si>
    <t>0,56 мк</t>
  </si>
  <si>
    <t>390</t>
  </si>
  <si>
    <t>Capacitor_0,68u_10_50V_X7R_0603C</t>
  </si>
  <si>
    <t>M20VN</t>
  </si>
  <si>
    <t>Resistor_430_1_0603</t>
  </si>
  <si>
    <t>Накопительная индуктивность для обратноходового преобразователя, L1=1.2uH, магнитопровод М20ВН, 20х10х5, первичная обмотка d1.3мм</t>
  </si>
  <si>
    <t>Резистор номиналом 430 Ом 1%</t>
  </si>
  <si>
    <t>М20ВН 20х10х5</t>
  </si>
  <si>
    <t>Schematic\Transformer_M20VN.SchLib</t>
  </si>
  <si>
    <t>0,68 мк</t>
  </si>
  <si>
    <t>430</t>
  </si>
  <si>
    <t>Resistor_470_1_0603</t>
  </si>
  <si>
    <t>Резистор номиналом 470 Ом 1%</t>
  </si>
  <si>
    <t>Capacitor_0,82u_10_50V_X7R_0603C</t>
  </si>
  <si>
    <t>470</t>
  </si>
  <si>
    <t>0,82 мк</t>
  </si>
  <si>
    <t>1.2 мк</t>
  </si>
  <si>
    <t>RES_THT_025W_470</t>
  </si>
  <si>
    <t>IHLP4040DZER470M11</t>
  </si>
  <si>
    <t>ЧИП-индуктивность экранированная 47мкГн ±20% 3,3A 145мОм 4040</t>
  </si>
  <si>
    <t>Resistor_510_1_0603</t>
  </si>
  <si>
    <t>Резистор номиналом 510 Ом 1%</t>
  </si>
  <si>
    <t>Capacitor_1u_10_25V_X7R_0603C</t>
  </si>
  <si>
    <t>510</t>
  </si>
  <si>
    <t>Footprints/Resistors/2512R.PcbLib</t>
  </si>
  <si>
    <t>2512R</t>
  </si>
  <si>
    <t>25</t>
  </si>
  <si>
    <t>Resistor_560_1_0603</t>
  </si>
  <si>
    <t>Резистор номиналом 560 Ом 1%</t>
  </si>
  <si>
    <t>3,3 А</t>
  </si>
  <si>
    <t>Capacitor_2,2u_10_50V_X7R_1206C</t>
  </si>
  <si>
    <t>560</t>
  </si>
  <si>
    <t>IHLP4040DZER101M11</t>
  </si>
  <si>
    <t>ЧИП-индуктивность экранированная 100мкГн ±20% 2,5A 270мОм 4040</t>
  </si>
  <si>
    <t>Footprints\Capacitors\1206C.PcbLib</t>
  </si>
  <si>
    <t>1206C</t>
  </si>
  <si>
    <t>2200</t>
  </si>
  <si>
    <t>Resistor_620_1_0603</t>
  </si>
  <si>
    <t>Резистор номиналом 620 Ом 1%</t>
  </si>
  <si>
    <t>Capacitor_4,7u_10_50V_X7R_1206C</t>
  </si>
  <si>
    <t>620</t>
  </si>
  <si>
    <t>HV_trans</t>
  </si>
  <si>
    <t>Импульсный трансформатор для поджига вспышки</t>
  </si>
  <si>
    <t>Resistor_680_1_0603</t>
  </si>
  <si>
    <t>Schematic\HV_trans.SchLib</t>
  </si>
  <si>
    <t>Резистор номиналом 680 Ом 1%</t>
  </si>
  <si>
    <t>EE16_transformer</t>
  </si>
  <si>
    <t>Capacitor_10u_10_35V_X7R_1210C</t>
  </si>
  <si>
    <t>680</t>
  </si>
  <si>
    <t>10000 А</t>
  </si>
  <si>
    <t>Footprints\Capacitors\1210C.PcbLib</t>
  </si>
  <si>
    <t>1210C</t>
  </si>
  <si>
    <t>Resistor_750_1_0603</t>
  </si>
  <si>
    <t>Резистор номиналом 750 Ом 1%</t>
  </si>
  <si>
    <t>Capacitor_22u_10_25V_X7R_1210C</t>
  </si>
  <si>
    <t>750</t>
  </si>
  <si>
    <t>CDSPRH127-150M</t>
  </si>
  <si>
    <t>Индуктивность на 15 мкГн, номинальный ток 8,4 А</t>
  </si>
  <si>
    <t>Capacitor_0,1u_10_1000V_X7R_1812C</t>
  </si>
  <si>
    <t>SPRH127</t>
  </si>
  <si>
    <t>Resistor_820_1_0603</t>
  </si>
  <si>
    <t>Резистор номиналом 820 Ом 1%</t>
  </si>
  <si>
    <t>TS820-600B-TR</t>
  </si>
  <si>
    <t>820</t>
  </si>
  <si>
    <t>Тиристор 600В 8А</t>
  </si>
  <si>
    <t>Footprints\Capacitors\1812C.PcbLib</t>
  </si>
  <si>
    <t>1812C</t>
  </si>
  <si>
    <t>8,4 А</t>
  </si>
  <si>
    <t>Capacitor_1n_10_1000V_X7R_1206C</t>
  </si>
  <si>
    <t>CDSP43-1R0M</t>
  </si>
  <si>
    <t>Schematic\thyristor1K2A3G.SchLib</t>
  </si>
  <si>
    <t>thyristor</t>
  </si>
  <si>
    <t>1н</t>
  </si>
  <si>
    <t>Resistor_910_1_0603</t>
  </si>
  <si>
    <t>Резистор номиналом 910 Ом 1%</t>
  </si>
  <si>
    <t>1</t>
  </si>
  <si>
    <t>https://static.chipdip.ru/lib/245/DOC027245978.pdf</t>
  </si>
  <si>
    <t>GRM1885C1H220J</t>
  </si>
  <si>
    <t>910</t>
  </si>
  <si>
    <t>600 В</t>
  </si>
  <si>
    <t>22п</t>
  </si>
  <si>
    <t>5%</t>
  </si>
  <si>
    <t>50</t>
  </si>
  <si>
    <t>NP0</t>
  </si>
  <si>
    <t>0,022</t>
  </si>
  <si>
    <t>https://cdn.promelec.ru/upload/items/2020/02/18/MURATA_MLCC_catalog_C02E_short_.pdf</t>
  </si>
  <si>
    <t>Capacitor_0,1u_10_16V_X7R_0603C</t>
  </si>
  <si>
    <t>Resistor_1.0k_1_0603</t>
  </si>
  <si>
    <t>Резистор номиналом 1,0 кОм 1%</t>
  </si>
  <si>
    <t>1,0 к</t>
  </si>
  <si>
    <t>Footprints\Capacitors\0402C.PcbLib</t>
  </si>
  <si>
    <t>0402C</t>
  </si>
  <si>
    <t>4,3 А</t>
  </si>
  <si>
    <t>CC1210MKX5R7BB107</t>
  </si>
  <si>
    <t>RES_THT_025W_1k</t>
  </si>
  <si>
    <t>CDSPRH127-331M</t>
  </si>
  <si>
    <t>20%</t>
  </si>
  <si>
    <t>Resistor_1.1k_1_0603</t>
  </si>
  <si>
    <t>X5R</t>
  </si>
  <si>
    <t>Резистор номиналом 1,1 кОм 1%</t>
  </si>
  <si>
    <t>100000</t>
  </si>
  <si>
    <t>https://cdn.promelec.ru/upload/datasheet/3/9/UPY-GPHC_X5R_4V-to-50V_25.pdf</t>
  </si>
  <si>
    <t>1,1 к</t>
  </si>
  <si>
    <t>GRM31CR61E476ME44L</t>
  </si>
  <si>
    <t>47000</t>
  </si>
  <si>
    <t>1,79 А</t>
  </si>
  <si>
    <t>Capacitor_1n_5_50V_NP0_0603C</t>
  </si>
  <si>
    <t>Resistor_1.2k_1_0603</t>
  </si>
  <si>
    <t>Резистор номиналом 1,2 кОм 1%</t>
  </si>
  <si>
    <t>SP43-150K</t>
  </si>
  <si>
    <t>Индуктивность на 15 мкГн, номинальный ток 1,3 А</t>
  </si>
  <si>
    <t>1,2 к</t>
  </si>
  <si>
    <t>Capacitor_3.3n_5_50V_NP0_0603C</t>
  </si>
  <si>
    <t>SP43</t>
  </si>
  <si>
    <t>Capacitor_10u_10_10V_X7R_0603C</t>
  </si>
  <si>
    <t>1,3 А</t>
  </si>
  <si>
    <t>B82472G6472M</t>
  </si>
  <si>
    <t>Индуктивность на 4,7 мкГн, номинальный ток 2,5 А</t>
  </si>
  <si>
    <t>Resistor_1.21k_1_0603</t>
  </si>
  <si>
    <t>Резистор номиналом 1,21 кОм 1%</t>
  </si>
  <si>
    <t>https://static.chipdip.ru/lib/893/DOC031893419.pdf</t>
  </si>
  <si>
    <t>1,21 к</t>
  </si>
  <si>
    <t>Capacitor_12p_5_50V_NP0_0603C</t>
  </si>
  <si>
    <t>12 п</t>
  </si>
  <si>
    <t>Resistor_1.3k_1_0603</t>
  </si>
  <si>
    <t>0,012</t>
  </si>
  <si>
    <t>Резистор номиналом 1,3 кОм 1%</t>
  </si>
  <si>
    <t>Capacitor_100p_5_630V_NP0_1206C</t>
  </si>
  <si>
    <t>1,3 к</t>
  </si>
  <si>
    <t>630</t>
  </si>
  <si>
    <t>Resistor_1.5k_1_0603</t>
  </si>
  <si>
    <t>Резистор номиналом 1,5 кОм 1%</t>
  </si>
  <si>
    <t>1,5 к</t>
  </si>
  <si>
    <t>Resistor_1.6k_1_0603</t>
  </si>
  <si>
    <t>Резистор номиналом 1,6 кОм 1%</t>
  </si>
  <si>
    <t>2,5 А</t>
  </si>
  <si>
    <t>1,6 к</t>
  </si>
  <si>
    <t>CDRH6D12NP-2R2NC</t>
  </si>
  <si>
    <t>Resistor_1.8k_1_0603</t>
  </si>
  <si>
    <t>Индуктивность на 2,2 мкГн, номинальный ток 2,5 А</t>
  </si>
  <si>
    <t>Резистор номиналом 1,8 кОм 1%</t>
  </si>
  <si>
    <t>Schematic\Inductance_1-3.SchLib</t>
  </si>
  <si>
    <t>1,8 к</t>
  </si>
  <si>
    <t>Inductance_1-3</t>
  </si>
  <si>
    <t>CDRH6D12</t>
  </si>
  <si>
    <t>Resistor_2.0k_1_0603</t>
  </si>
  <si>
    <t>Резистор номиналом 2,0 кОм 1%</t>
  </si>
  <si>
    <t>2,0 к</t>
  </si>
  <si>
    <t>RES_THT_025W_2k</t>
  </si>
  <si>
    <t>GP2426SR</t>
  </si>
  <si>
    <t>Телекоммуникационный трансформатор 100/1000 Base-T +POE+, 1CT:1CT, DCR=1.5Ohm MAX, изоляция 1500В, 24SMD</t>
  </si>
  <si>
    <t>Resistor_2.2k_1_0603</t>
  </si>
  <si>
    <t>Резистор номиналом 2,2 кОм 1%</t>
  </si>
  <si>
    <t>Schematic\trans_1000base_t.SchLib</t>
  </si>
  <si>
    <t>trans_1000base_t</t>
  </si>
  <si>
    <t>2,2 к</t>
  </si>
  <si>
    <t>Resistor_2.4k_1_0603</t>
  </si>
  <si>
    <t>Резистор номиналом 2,4 кОм 1%</t>
  </si>
  <si>
    <t>2,4 к</t>
  </si>
  <si>
    <t>0,0 А</t>
  </si>
  <si>
    <t>350 мк</t>
  </si>
  <si>
    <t>CDSP43-2R2M</t>
  </si>
  <si>
    <t>Катушка индуктивности SMD 2.2мкГн ±10%, 3.95A, ,не экранированная 4.5*4.3*3.2мм</t>
  </si>
  <si>
    <t>Resistor_2.7k_1_0603</t>
  </si>
  <si>
    <t>Резистор номиналом 2,7 кОм 1%</t>
  </si>
  <si>
    <t>2,7 к</t>
  </si>
  <si>
    <t>Resistor_3.0k_1_0603</t>
  </si>
  <si>
    <t>Резистор номиналом 3,0 кОм 1%</t>
  </si>
  <si>
    <t>3,0 к</t>
  </si>
  <si>
    <t>4,2 А</t>
  </si>
  <si>
    <t>https://static.chipdip.ru/lib/768/DOC047768866.pdf</t>
  </si>
  <si>
    <t>Resistor_3.3k_1_0603</t>
  </si>
  <si>
    <t>Резистор номиналом 3,3 кОм 1%</t>
  </si>
  <si>
    <t>IHLP2020BZER2R2M01</t>
  </si>
  <si>
    <t>Катушка индуктивности SMD экранированная 2,2мкГн ±20% 4,2A 50,1мОм 2020 лента на катушке</t>
  </si>
  <si>
    <t>3,3 к</t>
  </si>
  <si>
    <t>IHLP-2020</t>
  </si>
  <si>
    <t>Footprints/Resistors/1210R.PcbLib</t>
  </si>
  <si>
    <t>1210R</t>
  </si>
  <si>
    <t>Resistor_3.6k_1_0603</t>
  </si>
  <si>
    <t>Резистор номиналом 3,6 кОм 1%</t>
  </si>
  <si>
    <t>3,6 к</t>
  </si>
  <si>
    <t>4,5 А</t>
  </si>
  <si>
    <t>https://cdn.promelec.ru/upload/datasheet/0/8/ihlp-2020bz-01.pdf</t>
  </si>
  <si>
    <t>B78476A8065A003</t>
  </si>
  <si>
    <t>Телекоммуникационный трансформатор, 10/100Base-T 1CT:1CT, 16 выводов, 12.7x6.9x5.6mm</t>
  </si>
  <si>
    <t>Schematic\B78476A8065A003.SchLib</t>
  </si>
  <si>
    <t>Resistor_3.9k_1_0603</t>
  </si>
  <si>
    <t>Резистор номиналом 3,9 кОм 1%</t>
  </si>
  <si>
    <t>Tact_button</t>
  </si>
  <si>
    <t>3,9 к</t>
  </si>
  <si>
    <t>Тактовая кнопка</t>
  </si>
  <si>
    <t>Resistor_4.3k_1_0603</t>
  </si>
  <si>
    <t>Резистор номиналом 4,3 кОм 1%</t>
  </si>
  <si>
    <t>https://cdn.promelec.ru/upload/datasheet/8/0/B78476A8065A003.pdf</t>
  </si>
  <si>
    <t>4,3 к</t>
  </si>
  <si>
    <t>MPXV1D1250L150</t>
  </si>
  <si>
    <t>Катушка индуктивности 15мкГн ±20% 8.2A 30.8мОм</t>
  </si>
  <si>
    <t>Button_SMD_10mm</t>
  </si>
  <si>
    <t>Resistor_4.7k_1_0603</t>
  </si>
  <si>
    <t>Резистор номиналом 4,7 кОм 1%</t>
  </si>
  <si>
    <t>MPXV1D1250</t>
  </si>
  <si>
    <t>4,7 к</t>
  </si>
  <si>
    <t>Button_SMD_6x6</t>
  </si>
  <si>
    <t>RES_THT_025W_4.7k</t>
  </si>
  <si>
    <t>Button_tht_6X6</t>
  </si>
  <si>
    <t>Resistor_5.1k_1_0603</t>
  </si>
  <si>
    <t>Резистор номиналом 5,1 кОм 1%</t>
  </si>
  <si>
    <t>8,2 А</t>
  </si>
  <si>
    <t>5,1 к</t>
  </si>
  <si>
    <t>static.chipdip.ru/lib/674/DOC011674595.pdf</t>
  </si>
  <si>
    <t>LED</t>
  </si>
  <si>
    <t>Светодиод</t>
  </si>
  <si>
    <t>H5120NLT</t>
  </si>
  <si>
    <t>Телекоммуникационный трансформатор 10/100/1000 Base-T, 1CT:1CT, изоляция 1500В</t>
  </si>
  <si>
    <t>Resistor_5.6k_1_0603</t>
  </si>
  <si>
    <t>Резистор номиналом 5,6 кОм 1%</t>
  </si>
  <si>
    <t>Schematic\trans_1000base_t_2.SchLib</t>
  </si>
  <si>
    <t>trans_1000base_t_2</t>
  </si>
  <si>
    <t>5,6 к</t>
  </si>
  <si>
    <t>0805D</t>
  </si>
  <si>
    <t>Footprints\3mm_led_red.PcbLib</t>
  </si>
  <si>
    <t>3mm_led_red</t>
  </si>
  <si>
    <t>cdn.promelec.ru/upload/items/2024/01/29/H5120NL_.pdf</t>
  </si>
  <si>
    <t>Resistor_6.2k_1_0603</t>
  </si>
  <si>
    <t>IHLP4040DZER150M11</t>
  </si>
  <si>
    <t>Резистор номиналом 6,2 кОм 1%</t>
  </si>
  <si>
    <t>Катушка индуктивности SMD экранированная 15мкГн ±20% 6,25A 45мОм</t>
  </si>
  <si>
    <t>6,2 к</t>
  </si>
  <si>
    <t>XTAL</t>
  </si>
  <si>
    <t>Кварцевый резонатор</t>
  </si>
  <si>
    <t>6,25 А</t>
  </si>
  <si>
    <t>Resistor_6.8k_1_0603</t>
  </si>
  <si>
    <t>Резистор номиналом 6,8 кОм 1%</t>
  </si>
  <si>
    <t>cdn.promelec.ru/upload/datasheet/1/f/lp40dz11.pdf</t>
  </si>
  <si>
    <t>HC49SD</t>
  </si>
  <si>
    <t>Transformer_RM8</t>
  </si>
  <si>
    <t>6,8 к</t>
  </si>
  <si>
    <t>Трансформатор на сердечнике RM8</t>
  </si>
  <si>
    <t>Schematic\Transformer_RM8.SchLib</t>
  </si>
  <si>
    <t>XTAL_GND</t>
  </si>
  <si>
    <t>RM8_trans</t>
  </si>
  <si>
    <t>Кварцевый резонатор с входом земли</t>
  </si>
  <si>
    <t>Resistor_7.5k_1_0603</t>
  </si>
  <si>
    <t>Резистор номиналом 7,5 кОм 1%</t>
  </si>
  <si>
    <t>Footprints\XTAL\QSMD3.2x2.5.PcbLib</t>
  </si>
  <si>
    <t>QSMD3.2x2.5</t>
  </si>
  <si>
    <t>https://static.chipdip.ru/lib/153/DOC004153919.pdf</t>
  </si>
  <si>
    <t>7,5 к</t>
  </si>
  <si>
    <t>SB</t>
  </si>
  <si>
    <t>Solder bridge, мост припоя, запаиваемая перемычка, net tie, jumper</t>
  </si>
  <si>
    <t>Inductance_RM8</t>
  </si>
  <si>
    <t>Индуктивность на сердечнике RM8</t>
  </si>
  <si>
    <t>Resistor_8.2k_1_0603</t>
  </si>
  <si>
    <t>Резистор номиналом 8,2 кОм 1%</t>
  </si>
  <si>
    <t>Schematic\Inductance_RM8.SchLib</t>
  </si>
  <si>
    <t>8,2 к</t>
  </si>
  <si>
    <t>0805SB</t>
  </si>
  <si>
    <t>Resistor_9.1k_1_0603</t>
  </si>
  <si>
    <t>1206SB</t>
  </si>
  <si>
    <t>Резистор номиналом 9,1 кОм 1%</t>
  </si>
  <si>
    <t>9,1 к</t>
  </si>
  <si>
    <t>0805SB_wide_gap</t>
  </si>
  <si>
    <t>BLM18AG102SN1D</t>
  </si>
  <si>
    <t>0603SB</t>
  </si>
  <si>
    <t>Дроссель подавления ЭМП</t>
  </si>
  <si>
    <t>CBM432AST23</t>
  </si>
  <si>
    <t>Schematic\Ferrite_bead.SchLib</t>
  </si>
  <si>
    <t>Источник опорного напряжения, программируемый стабилитрон</t>
  </si>
  <si>
    <t>Ferrite_bead</t>
  </si>
  <si>
    <t>Resistor_10k_1_0603</t>
  </si>
  <si>
    <t>Резистор номиналом 10 кОм 1%</t>
  </si>
  <si>
    <t>precision_shunt_regulator</t>
  </si>
  <si>
    <t>10 к</t>
  </si>
  <si>
    <t>Footprints/Resistors/1218R.PcbLib</t>
  </si>
  <si>
    <t>https://www.chipdip.ru/product/blm18ag102sn1d-1-kom-0.4a-0603-drossel-podavleniya-murata-9000029220</t>
  </si>
  <si>
    <t>1218R</t>
  </si>
  <si>
    <t>RES_THT_025W_10k</t>
  </si>
  <si>
    <t>UMW TL431 0.5%</t>
  </si>
  <si>
    <t>Источник опорного напряжения , программируемый стабилитрон [SOT-23-3]</t>
  </si>
  <si>
    <t>Resistor_10.7k_1_0603</t>
  </si>
  <si>
    <t>Резистор номиналом 10,7 кОм 1%</t>
  </si>
  <si>
    <t>10,7 к</t>
  </si>
  <si>
    <t>Resistor_11k_1_0603</t>
  </si>
  <si>
    <t>Fuse 20x5 on clips FC-M</t>
  </si>
  <si>
    <t>Резистор номиналом 11 кОм 1%</t>
  </si>
  <si>
    <t>Предохранитель 20*5 на креплениях</t>
  </si>
  <si>
    <t>11 к</t>
  </si>
  <si>
    <t>fuse</t>
  </si>
  <si>
    <t>fuse_20x5_on_clips_FC-M</t>
  </si>
  <si>
    <t>Resistor_12k_1_0603</t>
  </si>
  <si>
    <t>Резистор номиналом 12 кОм 1%</t>
  </si>
  <si>
    <t>DHT22</t>
  </si>
  <si>
    <t>Датчик температуры и влажности на базе AM2302</t>
  </si>
  <si>
    <t>12 к</t>
  </si>
  <si>
    <t>Resistor_12.4k_1_0603</t>
  </si>
  <si>
    <t>Резистор номиналом 12,4 кОм 1%</t>
  </si>
  <si>
    <t>cooler4040</t>
  </si>
  <si>
    <t>вентилятор 40*40 с дыркой на плате</t>
  </si>
  <si>
    <t>12,4 к</t>
  </si>
  <si>
    <t>Resistor_13k_1_0603</t>
  </si>
  <si>
    <t>Резистор номиналом 13 кОм 1%</t>
  </si>
  <si>
    <t>cooler3030</t>
  </si>
  <si>
    <t>вентилятор 30*30 с дыркой на плате</t>
  </si>
  <si>
    <t>13 к</t>
  </si>
  <si>
    <t>Resistor_15k_1_0603</t>
  </si>
  <si>
    <t>Резистор номиналом 15 кОм 1%</t>
  </si>
  <si>
    <t>SMT_spacer_nut</t>
  </si>
  <si>
    <t>Стойка под пайку, М2.5, высота 3мм, SMT spacer nut - ключевые слова, Hangzhou WildChip Tech Co., Ltd. Store магазин на алике</t>
  </si>
  <si>
    <t>SMT spacer</t>
  </si>
  <si>
    <t>15 к</t>
  </si>
  <si>
    <t>Schematic\Connectors\Conn_1pin.SchLib</t>
  </si>
  <si>
    <t>Conn_1pin</t>
  </si>
  <si>
    <t>Footprints\SMT_spacer_nut.PcbLib</t>
  </si>
  <si>
    <t>9774030151</t>
  </si>
  <si>
    <t>System</t>
  </si>
  <si>
    <t>Resistor_16k_1_0603</t>
  </si>
  <si>
    <t>IDC-10</t>
  </si>
  <si>
    <t>Резистор номиналом 16 кОм 1%</t>
  </si>
  <si>
    <t>10-пиновый разъём с ключём</t>
  </si>
  <si>
    <t>https://aliexpress.ru/item/1005005620368789.html?sku_id=12000033777723210&amp;srcSns=sns_More&amp;businessType=ProductDetail&amp;spreadType=socialShare&amp;tt=MG&amp;utm_medium=sharing</t>
  </si>
  <si>
    <t>Schematic\Connectors\Conn_10pin.SchLib</t>
  </si>
  <si>
    <t>Conn_10pin</t>
  </si>
  <si>
    <t>Footprints\Connectors\IDC-10.PcbLib</t>
  </si>
  <si>
    <t>16 к</t>
  </si>
  <si>
    <t>Connector</t>
  </si>
  <si>
    <t>D-SUB-26</t>
  </si>
  <si>
    <t>Schematic\Connectors\Conn_26pin.SchLib</t>
  </si>
  <si>
    <t>Conn_26pin</t>
  </si>
  <si>
    <t>Footprints\Connectors\D-SUB-26.PcbLib</t>
  </si>
  <si>
    <t>PLS-4</t>
  </si>
  <si>
    <t>Гребенка 4 пина</t>
  </si>
  <si>
    <t>Schematic\Connectors\Conn_4pin.SchLib</t>
  </si>
  <si>
    <t>Conn_4pin</t>
  </si>
  <si>
    <t>Footprints\Connectors\PLS_PLD_PBS_PBD_and_others\PLS_ALL.PcbLib</t>
  </si>
  <si>
    <t>PLS4</t>
  </si>
  <si>
    <t>spacer_m2.5_h16</t>
  </si>
  <si>
    <t>CWF-5</t>
  </si>
  <si>
    <t>Стойка М2.5, высота 16мм</t>
  </si>
  <si>
    <t>5-пиновый разъем с ключом</t>
  </si>
  <si>
    <t>Resistor_18k_1_0603</t>
  </si>
  <si>
    <t>Spacer m2.5 h16</t>
  </si>
  <si>
    <t>Schematic\Connectors\Conn_5pin.SchLib</t>
  </si>
  <si>
    <t>Conn_5pin</t>
  </si>
  <si>
    <t>Резистор номиналом 18 кОм 1%</t>
  </si>
  <si>
    <t>Footprints\Connectors\CWF\CWF-5.PcbLib</t>
  </si>
  <si>
    <t>CWF-3</t>
  </si>
  <si>
    <t>18 к</t>
  </si>
  <si>
    <t>3-пиновый разъем с ключом</t>
  </si>
  <si>
    <t>Schematic\Connectors\Conn_3pin.SchLib</t>
  </si>
  <si>
    <t>Conn_3pin</t>
  </si>
  <si>
    <t>Footprints\Connectors\CWF\CWF-3.PcbLib</t>
  </si>
  <si>
    <t>Footprints\Connectors\CWF\anotherCWF-3.PcbLib</t>
  </si>
  <si>
    <t>anotherCWF-3</t>
  </si>
  <si>
    <t>CR2032-VAY3-15.2</t>
  </si>
  <si>
    <t>XT30UPB-M</t>
  </si>
  <si>
    <t>2-пиновый разъем с ключом</t>
  </si>
  <si>
    <t>Schematic\Connectors\Polar_Conn.SchLib</t>
  </si>
  <si>
    <t>Li, MnO2 батарея типоразмера R20, 3В, 0.22Ач, приваренные выводы, -20...60 °C</t>
  </si>
  <si>
    <t>Polar_Conn</t>
  </si>
  <si>
    <t>Footprints\Connectors\XT30UPB-M.PcbLib</t>
  </si>
  <si>
    <t>Schematic\Battery.SchLib</t>
  </si>
  <si>
    <t>Battery</t>
  </si>
  <si>
    <t>Resistor_20k_1_0603</t>
  </si>
  <si>
    <t>2_PADS</t>
  </si>
  <si>
    <t>2 контактные площадки под пайку толстых проводов</t>
  </si>
  <si>
    <t>Резистор номиналом 20 кОм 1%</t>
  </si>
  <si>
    <t>Schematic\Connectors\Conn_2pin.SchLib</t>
  </si>
  <si>
    <t>Conn_2pin</t>
  </si>
  <si>
    <t>Footprints\Connectors\2_PADS.PcbLib</t>
  </si>
  <si>
    <t>Footprints\Connectors\2_Holes.pcblib</t>
  </si>
  <si>
    <t>2_HOLES</t>
  </si>
  <si>
    <t>4WayDIP</t>
  </si>
  <si>
    <t>XT30PW-M</t>
  </si>
  <si>
    <t>30 А (15 продолжительно), 2 контакта разъем угловой отец</t>
  </si>
  <si>
    <t>4 позиционный движковый переключатель</t>
  </si>
  <si>
    <t>20 к</t>
  </si>
  <si>
    <t>4 Way Through Hole DIP Switch SPST</t>
  </si>
  <si>
    <t>Schematic\Connectors\Polar_Conn_Shield.SchLib</t>
  </si>
  <si>
    <t>Polar_Conn_Shield</t>
  </si>
  <si>
    <t>Footprints\Connectors\XT30PW-M.PcbLib</t>
  </si>
  <si>
    <t>KLS2-300-5.00-02P-2S</t>
  </si>
  <si>
    <t>RES_THT_025W_20k</t>
  </si>
  <si>
    <t>CMP-47017-000002-1</t>
  </si>
  <si>
    <t>Клеммник винтовой, 2-контактный, 5мм, прямой</t>
  </si>
  <si>
    <t>Footprints\4WayDIP.PcbLib</t>
  </si>
  <si>
    <t>FP-NDS04V-MFG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</si>
  <si>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</si>
  <si>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</si>
  <si>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</si>
  <si>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Button_DIP_12x12</t>
  </si>
  <si>
    <t>Schematic\Connectors\DIN41612_32_2row.SchLib</t>
  </si>
  <si>
    <t>Тактовая кнопка, DIP 12 x 12 мм</t>
  </si>
  <si>
    <t>DIN41612_32_2row</t>
  </si>
  <si>
    <t>Footprints\Connectors\DIN41612_32_2row_right_angle_father.PcbLib</t>
  </si>
  <si>
    <t>Schematic\Tact_button.SchLib</t>
  </si>
  <si>
    <t>DIN41612_32_2row_straight_mother</t>
  </si>
  <si>
    <t>DIN41612 (DS1118-32F0V23), Разъем (розетка) тип B 32pin (2х16), шаг 2.54мм двухрядный прямой (ряд АB)</t>
  </si>
  <si>
    <t>Footprints\Buttons\Button_DIP_12x12.PcbLib</t>
  </si>
  <si>
    <t>Footprints\Connectors\DIN41612_32_2row_straight_mother.PcbLib</t>
  </si>
  <si>
    <t>X322525MOB4SI</t>
  </si>
  <si>
    <t>Кварцевый резонатор SMD 25 МГц ±10ppm SMD-3225_4P</t>
  </si>
  <si>
    <t>XT30UPB-F</t>
  </si>
  <si>
    <t>30 А (15 продолжительно), прямая мать</t>
  </si>
  <si>
    <t>Footprints\Connectors\XT30UPB-F.PcbLib</t>
  </si>
  <si>
    <t>XTAL_1-3_GND</t>
  </si>
  <si>
    <t>Resistor_22k_1_0603</t>
  </si>
  <si>
    <t>Footprints\XTAL\X322525MOB4SI.PcbLib</t>
  </si>
  <si>
    <t>Holder 18650</t>
  </si>
  <si>
    <t>Резистор номиналом 22 кОм 1%</t>
  </si>
  <si>
    <t xml:space="preserve">Holder 18650 SMT </t>
  </si>
  <si>
    <t>18650holder</t>
  </si>
  <si>
    <t>Schematic\Connectors\18650holder.SchLib</t>
  </si>
  <si>
    <t>25 МГц</t>
  </si>
  <si>
    <t>Footprints\Connectors\18650holder.PcbLib</t>
  </si>
  <si>
    <t>22 к</t>
  </si>
  <si>
    <t>https://datasheet.lcsc.com/lcsc/Yangxing-Tech-X322525MOB4SI_C9006.pdf</t>
  </si>
  <si>
    <t>D-SUB_25_angular_mother</t>
  </si>
  <si>
    <t>TSS-TD-19XA-XTR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</si>
  <si>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</si>
  <si>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Schematic\Connectors\D-SUB_25_angular_mother.SchLib</t>
  </si>
  <si>
    <t>RES_THT_025W_22k</t>
  </si>
  <si>
    <t>Footprints\Connectors\D-SUB_25_angular_mother.PcbLib</t>
  </si>
  <si>
    <t>1-1734577-3-rj45-8p8c</t>
  </si>
  <si>
    <t>Модульный разъем, Cat3, RJ45, Гнездо, 8 контакт(-ов), 8 вывод(-ов), 1 порт(-ов)</t>
  </si>
  <si>
    <t>1734577-3</t>
  </si>
  <si>
    <t>Schematic\Connectors\1-1734577-3-rj45-8p8c.SchLib</t>
  </si>
  <si>
    <t>Footprints\Connectors\1-1734577-3-rj45-8p8c.PcbLib</t>
  </si>
  <si>
    <t>Resistor_24k_1_0603</t>
  </si>
  <si>
    <t>Резистор номиналом 24 кОм 1%</t>
  </si>
  <si>
    <t>Molex_430450415</t>
  </si>
  <si>
    <t>Разъем типа провод-плата, 3 мм, 4 контакт(-ов), Штыревой Разъем, для поверностного монтажа</t>
  </si>
  <si>
    <t>430450415</t>
  </si>
  <si>
    <t>Schematic\Connectors\Molex_430450415.SchLib</t>
  </si>
  <si>
    <t>24 к</t>
  </si>
  <si>
    <t>https://cdn.promelec.ru/upload/items/2023/04/17/TSS-TD-19XA.pdf</t>
  </si>
  <si>
    <t>Footprints\Connectors\MOLEX_430450415.PcbLib</t>
  </si>
  <si>
    <t>MOLEX_430450415</t>
  </si>
  <si>
    <t>SMT-NUT-M2H1.5</t>
  </si>
  <si>
    <t>DG141V-2.54-10P</t>
  </si>
  <si>
    <t>Стойка под пайку, М2, высота 1.5 мм, SMT spacer nut - ключевые слова, Hangzhou WildChip Tech Co., Ltd. Store магазин на алике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</si>
  <si>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</si>
  <si>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</si>
  <si>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Resistor_27k_1_0603</t>
  </si>
  <si>
    <t>Резистор номиналом 27 кОм 1%</t>
  </si>
  <si>
    <t>Molex_430450218</t>
  </si>
  <si>
    <t>Разъем типа провод-плата, 3 мм, 2 контакт(-ов), Штыревой Разъем, Серия Micro-Fit для поверхностного монтажа</t>
  </si>
  <si>
    <t>430450218</t>
  </si>
  <si>
    <t>Schematic\Connectors\Molex_430450218.SchLib</t>
  </si>
  <si>
    <t>Footprints\Connectors\Molex_430450218.PcbLib</t>
  </si>
  <si>
    <t>LED 0603 RED</t>
  </si>
  <si>
    <t>27 к</t>
  </si>
  <si>
    <t>Светодиод 0603 Красный</t>
  </si>
  <si>
    <t>Molex_430450418</t>
  </si>
  <si>
    <t>430450418</t>
  </si>
  <si>
    <t>Footprints\Connectors\MOLEX_430450418.PcbLib</t>
  </si>
  <si>
    <t>MOLEX_430450418</t>
  </si>
  <si>
    <t>KK5045-03AG</t>
  </si>
  <si>
    <t>Разъем типа провод-плата, 2.5 мм, 3 контакта</t>
  </si>
  <si>
    <t>Resistor_30k_1_0603</t>
  </si>
  <si>
    <t>0603D_red</t>
  </si>
  <si>
    <t>Footprints\Connectors\KK5045-03AG.PcbLib</t>
  </si>
  <si>
    <t>Резистор номиналом 30 кОм 1%</t>
  </si>
  <si>
    <t>Красный</t>
  </si>
  <si>
    <t>KK5045-04AG</t>
  </si>
  <si>
    <t>Разъем типа провод-плата, 2.5 мм, 4 контакта</t>
  </si>
  <si>
    <t>LED 0603 BLUE</t>
  </si>
  <si>
    <t>30 к</t>
  </si>
  <si>
    <t>Светодиод 0603 Синий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</si>
  <si>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</si>
  <si>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</si>
  <si>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</si>
  <si>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</si>
  <si>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0603D_blue</t>
  </si>
  <si>
    <t>MPW-3</t>
  </si>
  <si>
    <t>Resistor_31.6k_1_0603</t>
  </si>
  <si>
    <t>MPW-3 , Вилка на плату 5.08мм прямая 3pin</t>
  </si>
  <si>
    <t>Синий</t>
  </si>
  <si>
    <t>Резистор номиналом 31,6 кОм 1%</t>
  </si>
  <si>
    <t>Footprints\Connectors\MPW-3.PcbLib</t>
  </si>
  <si>
    <t>31,6 к</t>
  </si>
  <si>
    <t>MPW-4</t>
  </si>
  <si>
    <t>MPW-4 , Вилка на плату 5.08мм прямая 4pin</t>
  </si>
  <si>
    <t>LED 0603 YELLOW</t>
  </si>
  <si>
    <t>Светодиод 0603 Жёлтый</t>
  </si>
  <si>
    <t>Footprints\Connectors\MPW-4.PcbLib</t>
  </si>
  <si>
    <t>MPW-8</t>
  </si>
  <si>
    <t>MPW-8 , Вилка на плату 5.08мм прямая 8pin</t>
  </si>
  <si>
    <t>Resistor_33k_1_0603</t>
  </si>
  <si>
    <t>0603D_yellow</t>
  </si>
  <si>
    <t>Schematic\Connectors\Conn_8pin.SchLib</t>
  </si>
  <si>
    <t>Conn_8pin</t>
  </si>
  <si>
    <t>Резистор номиналом 33 кОм 1%</t>
  </si>
  <si>
    <t>Footprints\Connectors\MPW-8.PcbLib</t>
  </si>
  <si>
    <t>Жёлтый</t>
  </si>
  <si>
    <t>33 к</t>
  </si>
  <si>
    <t>PLS-2</t>
  </si>
  <si>
    <t>LED 0603 GREEN</t>
  </si>
  <si>
    <t>Гребенка 2 пина</t>
  </si>
  <si>
    <t>Светодиод 0603 Зелёный</t>
  </si>
  <si>
    <t>PLS2</t>
  </si>
  <si>
    <t>Resistor_36k_1_0603</t>
  </si>
  <si>
    <t>0603D_green</t>
  </si>
  <si>
    <t>Резистор номиналом 36 кОм 1%</t>
  </si>
  <si>
    <t>PLH-4</t>
  </si>
  <si>
    <t xml:space="preserve">Гребенка высокая 4 пина типоразмер 18 (промежуток 10.4мм) Connfly </t>
  </si>
  <si>
    <t>Зелёный</t>
  </si>
  <si>
    <t>36 к</t>
  </si>
  <si>
    <t>Footprints\Connectors\PLS_PLD_PBS_PBD_and_others\PLH_ALL.PcbLib</t>
  </si>
  <si>
    <t>PLH4_type18</t>
  </si>
  <si>
    <t>ASEK-32.768KHZ-LRT</t>
  </si>
  <si>
    <t>https://static.chipdip.ru/lib/530/DOC059530234.pdf</t>
  </si>
  <si>
    <t>PLH-2</t>
  </si>
  <si>
    <t>Гребенка высокая 2 пина типоразмер 18 (промежуток 10.4мм) Connfly</t>
  </si>
  <si>
    <t>Генератор кварцевый керамика 32.768кГц ±25ppm/°С -40°C....+85В°C SMT</t>
  </si>
  <si>
    <t>Resistor_39k_1_0603</t>
  </si>
  <si>
    <t>PLH2_type18</t>
  </si>
  <si>
    <t>Резистор номиналом 39 кОм 1%</t>
  </si>
  <si>
    <t>PBS-4</t>
  </si>
  <si>
    <t>Розетка 4 пина высота 8.5</t>
  </si>
  <si>
    <t>39 к</t>
  </si>
  <si>
    <t>Footprints\Connectors\PLS_PLD_PBS_PBD_and_others\PBS_ALL.PcbLib</t>
  </si>
  <si>
    <t>PBS4_8.5</t>
  </si>
  <si>
    <t>https://static.chipdip.ru/lib/986/DOC012986355.pdf</t>
  </si>
  <si>
    <t>Resistor_43k_1_0603</t>
  </si>
  <si>
    <t>Резистор номиналом 43 кОм 1%</t>
  </si>
  <si>
    <t>XTAL_ASEK-32.768KHZ-LRT</t>
  </si>
  <si>
    <t>PBS-2</t>
  </si>
  <si>
    <t>43 к</t>
  </si>
  <si>
    <t>PBS2_8.5</t>
  </si>
  <si>
    <t>Resistor_47k_1_0603</t>
  </si>
  <si>
    <t>32.768кГц</t>
  </si>
  <si>
    <t>Резистор номиналом 47 кОм 1%</t>
  </si>
  <si>
    <t>CWF-2</t>
  </si>
  <si>
    <t>47 к</t>
  </si>
  <si>
    <t>MF-FSMF010X-2</t>
  </si>
  <si>
    <t>Footprints\Connectors\CWF\CWF-2.PcbLib</t>
  </si>
  <si>
    <t>Предохранитель самовосстанавливающийся 0,1А 15В</t>
  </si>
  <si>
    <t>https://static.chipdip.ru/lib/413/DOC001413777.pdf</t>
  </si>
  <si>
    <t>PLS-5</t>
  </si>
  <si>
    <t>Гребенка 5 пинов</t>
  </si>
  <si>
    <t>Resistor_51k_1_0603</t>
  </si>
  <si>
    <t>Резистор номиналом 51 кОм 1%</t>
  </si>
  <si>
    <t>PLS5</t>
  </si>
  <si>
    <t>https://static.chipdip.ru/lib/177/DOC040177951.pdf</t>
  </si>
  <si>
    <t>51 к</t>
  </si>
  <si>
    <t>gidrogleb</t>
  </si>
  <si>
    <t>KLS7-TS3601</t>
  </si>
  <si>
    <t>PBD-40</t>
  </si>
  <si>
    <t>Гребенка 40 пинов</t>
  </si>
  <si>
    <t>Schematic\Connectors\Conn_40pin_double.SchLib</t>
  </si>
  <si>
    <t>Conn_40pin_double</t>
  </si>
  <si>
    <t>Resistor_56k_1_0603</t>
  </si>
  <si>
    <t>Footprints\Connectors\PLS_PLD_PBS_PBD_and_others\PBD_ALL.PcbLib</t>
  </si>
  <si>
    <t>PBD40_8.5</t>
  </si>
  <si>
    <t>Резистор номиналом 56 кОм 1%</t>
  </si>
  <si>
    <t>PLD-40</t>
  </si>
  <si>
    <t>56 к</t>
  </si>
  <si>
    <t>Footprints\Connectors\PLS_PLD_PBS_PBD_and_others\PLD_ALL.PcbLib</t>
  </si>
  <si>
    <t>PLD40</t>
  </si>
  <si>
    <t>https://static.chipdip.ru/lib/551/DOC001551910.pdf</t>
  </si>
  <si>
    <t>Resistor_62k_1_0603</t>
  </si>
  <si>
    <t>Резистор номиналом 62 кОм 1%</t>
  </si>
  <si>
    <t>L-KLS5-CR2032-03</t>
  </si>
  <si>
    <t>Держатель батареи CR2032</t>
  </si>
  <si>
    <t>62 к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</si>
  <si>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</si>
  <si>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</si>
  <si>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</si>
  <si>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</si>
  <si>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</si>
  <si>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</si>
  <si>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</si>
  <si>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Resistor_68k_1_0603</t>
  </si>
  <si>
    <t>PLS-3</t>
  </si>
  <si>
    <t>Резистор номиналом 68 кОм 1%</t>
  </si>
  <si>
    <t>Гребенка 3 пина</t>
  </si>
  <si>
    <t>68 к</t>
  </si>
  <si>
    <t>PLS3</t>
  </si>
  <si>
    <t>https://static.chipdip.ru/lib/516/DOC014516710.pdf</t>
  </si>
  <si>
    <t>USB_2.0</t>
  </si>
  <si>
    <t>Двойной USB 2.0</t>
  </si>
  <si>
    <t>Resistor_75k_1_0603</t>
  </si>
  <si>
    <t>Schematic\USB_2.0.SchLib</t>
  </si>
  <si>
    <t>Резистор номиналом 75 кОм 1%</t>
  </si>
  <si>
    <t>Footprints\USB_2.0.PcbLib</t>
  </si>
  <si>
    <t>75 к</t>
  </si>
  <si>
    <t>USB_3.0</t>
  </si>
  <si>
    <t>Двойной USB 3.0</t>
  </si>
  <si>
    <t>Schematic\USB_3.0.SchLib</t>
  </si>
  <si>
    <t>Footprints\USB_3.0.PcbLib</t>
  </si>
  <si>
    <t>123A-30M00</t>
  </si>
  <si>
    <t>Разъем: M.2 (NGFF); горизонтальный; SMT; gold flash; PIN: 67; 0,5А</t>
  </si>
  <si>
    <t>Resistor_82k_1_0603</t>
  </si>
  <si>
    <t>Резистор номиналом 82 кОм 1%</t>
  </si>
  <si>
    <t>Schematic\Connectors\M2.SchLib</t>
  </si>
  <si>
    <t>M2</t>
  </si>
  <si>
    <t>Footprints\M2.PcbLib</t>
  </si>
  <si>
    <t>PCIe M2</t>
  </si>
  <si>
    <t>82 к</t>
  </si>
  <si>
    <t>Footprints\123A-30M00.PcbLib</t>
  </si>
  <si>
    <t>https://static.chipdip.ru/lib/882/DOC040882845.pdf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</si>
  <si>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</si>
  <si>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</si>
  <si>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</si>
  <si>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</si>
  <si>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</si>
  <si>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</si>
  <si>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Resistor_91k_1_0603</t>
  </si>
  <si>
    <t>CUI_MSD-10-C</t>
  </si>
  <si>
    <t>Резистор номиналом 91 кОм 1%</t>
  </si>
  <si>
    <t>DF12(3.0)-32DP</t>
  </si>
  <si>
    <t>Разъем плата-плата 32 пина, мама, шаг 0.5мм, высота 3мм</t>
  </si>
  <si>
    <t>91 к</t>
  </si>
  <si>
    <t>Conn_32pin</t>
  </si>
  <si>
    <t>Resistor_100k_1_0603</t>
  </si>
  <si>
    <t>Резистор номиналом 100 кОм 1%</t>
  </si>
  <si>
    <t>DF12(3.0)-32DS</t>
  </si>
  <si>
    <t>Разъем плата-плата 32 пина, папа, шаг 0.5мм, высота 3мм</t>
  </si>
  <si>
    <t>100 к</t>
  </si>
  <si>
    <t>RES_THT_025W_100k</t>
  </si>
  <si>
    <t>DF40C-50DP</t>
  </si>
  <si>
    <t>Разъем плата-плата 50 пинов, мама, шаг 0.4мм</t>
  </si>
  <si>
    <t>Conn_50pin_double</t>
  </si>
  <si>
    <t>Resistor_110k_1_0603</t>
  </si>
  <si>
    <t>Резистор номиналом 110 кОм 1%</t>
  </si>
  <si>
    <t>DF40C-50DS</t>
  </si>
  <si>
    <t>Разъем плата-плата 50 пинов, папа, шаг 0.4мм</t>
  </si>
  <si>
    <t>110 к</t>
  </si>
  <si>
    <t>DF40HC(4.0)-50DS</t>
  </si>
  <si>
    <t>Resistor_120k_1_0603</t>
  </si>
  <si>
    <t>Резистор номиналом 120 кОм 1%</t>
  </si>
  <si>
    <t>120 к</t>
  </si>
  <si>
    <t>PLS-6</t>
  </si>
  <si>
    <t>Гребенка 6 пинов</t>
  </si>
  <si>
    <t>Conn_6pin</t>
  </si>
  <si>
    <t>PLS6</t>
  </si>
  <si>
    <t>MR60PB-M</t>
  </si>
  <si>
    <t>60 А (40 продолжительно), 3 контакта, прямой отец</t>
  </si>
  <si>
    <t>Resistor_130k_1_0603</t>
  </si>
  <si>
    <t>Резистор номиналом 130 кОм 1%</t>
  </si>
  <si>
    <t>Footprints\Connectors\MR60PB-M.PcbLib</t>
  </si>
  <si>
    <t>130 к</t>
  </si>
  <si>
    <t>XT90PB-M</t>
  </si>
  <si>
    <t>90 А (60 продолжительно), 2 контакта, прямой отец</t>
  </si>
  <si>
    <t>Footprints\Connectors\XT90PB-M.PcbLib</t>
  </si>
  <si>
    <t>Resistor_150k_1_0603</t>
  </si>
  <si>
    <t>IDC_40_Male conector</t>
  </si>
  <si>
    <t>IDC 40-пиновый разъём прямая вилка</t>
  </si>
  <si>
    <t>Резистор номиналом 150 кОм 1%</t>
  </si>
  <si>
    <t>Footprints\Connectors\IDC_40_Male conector.PcbLib</t>
  </si>
  <si>
    <t>150 к</t>
  </si>
  <si>
    <t>DF40C-40DP</t>
  </si>
  <si>
    <t>Разъем плата-плата 40 пинов, мама, шаг 0.4мм</t>
  </si>
  <si>
    <t>Resistor_160k_1_0603</t>
  </si>
  <si>
    <t>Резистор номиналом 160 кОм 1%</t>
  </si>
  <si>
    <t>160 к</t>
  </si>
  <si>
    <t>DF40C-40DS</t>
  </si>
  <si>
    <t>Разъем плата-плата 40 пинов, папа, шаг 0.4мм</t>
  </si>
  <si>
    <t>Resistor_180k_1_0603</t>
  </si>
  <si>
    <t>Резистор номиналом 180 кОм 1%</t>
  </si>
  <si>
    <t>M80-4001042</t>
  </si>
  <si>
    <t>5+5-контактный гнездовой DIL-разъём с вертикальным сквозным креплением</t>
  </si>
  <si>
    <t>180 к</t>
  </si>
  <si>
    <t>https://www.harwin.com/products/M80-4001042</t>
  </si>
  <si>
    <t>Fucking 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</si>
  <si>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</si>
  <si>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Resistor_200k_1_0603</t>
  </si>
  <si>
    <t>M80-4001042_govnodelie</t>
  </si>
  <si>
    <t>Резистор номиналом 200 кОм 1%</t>
  </si>
  <si>
    <t>signal_PAD</t>
  </si>
  <si>
    <t>200 к</t>
  </si>
  <si>
    <t>контактная площадка под пайку тонких проводов</t>
  </si>
  <si>
    <t>Footprints\Connectors\SS_PAD.PcbLib</t>
  </si>
  <si>
    <t>SS_PAD</t>
  </si>
  <si>
    <t>Resistor_220k_1_0603</t>
  </si>
  <si>
    <t>Резистор номиналом 220 кОм 1%</t>
  </si>
  <si>
    <t>JK0-0136NL</t>
  </si>
  <si>
    <t>220 к</t>
  </si>
  <si>
    <t>Модульный разъем (с трансформатором) Cat5/6, RJ45, Гнездо,  1 порт</t>
  </si>
  <si>
    <t>Schematic\Connectors\JK0-0136NL.SchLib</t>
  </si>
  <si>
    <t>Footprints\Connectors\JK00136NL.PcbLib</t>
  </si>
  <si>
    <t>JK00136NL</t>
  </si>
  <si>
    <t>https://static.chipdip.ru/lib/746/DOC044746386.pdf</t>
  </si>
  <si>
    <t>DIN41612_48_3row_straight_female</t>
  </si>
  <si>
    <t>DIN41612R (DS1120-48F0V13), Разъем (розетка) тип B 48pin (3х16), шаг 2.54мм трехрядный прямой (ряд АBC)</t>
  </si>
  <si>
    <t>Resistor_240k_1_0603</t>
  </si>
  <si>
    <t>Резистор номиналом 240 кОм 1%</t>
  </si>
  <si>
    <t>240 к</t>
  </si>
  <si>
    <t>Conn_48pin_3row</t>
  </si>
  <si>
    <t>https://cdn.promelec.ru/upload/datasheet/3/1/DS1120.pdf</t>
  </si>
  <si>
    <t>Resistor_270k_1_0603</t>
  </si>
  <si>
    <t>Резистор номиналом 270 кОм 1%</t>
  </si>
  <si>
    <t>270 к</t>
  </si>
  <si>
    <t>DIN41612_48_3row_right_angle_male</t>
  </si>
  <si>
    <t>DIN41612R (DS1120-48M0R13), Разъем (вилка) тип B 48pin (3х16), шаг 2.54мм трехрядный угловой (ряд АВC)</t>
  </si>
  <si>
    <t>Resistor_300k_1_0603</t>
  </si>
  <si>
    <t>Резистор номиналом 300 кОм 1%</t>
  </si>
  <si>
    <t>Разъем типа провод-плата, угловой, 3 мм, 2 контакт(-ов), Штыревой Разъем, Серия Micro-Fit для монтажа в отверстия</t>
  </si>
  <si>
    <t>300 к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</si>
  <si>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</si>
  <si>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</si>
  <si>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</si>
  <si>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Resistor_330k_1_0603</t>
  </si>
  <si>
    <t>Резистор номиналом 330 кОм 1%</t>
  </si>
  <si>
    <t>330 к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</si>
  <si>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</si>
  <si>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</si>
  <si>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</si>
  <si>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</si>
  <si>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</si>
  <si>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1-406541-5-RJ45-8p8c</t>
  </si>
  <si>
    <t>Модульный разъем, Cat5, RJ45, Гнездо, 8 контакт(-ов), 8 вывод(-ов), 1 порт(-ов)</t>
  </si>
  <si>
    <t>1-406541-5</t>
  </si>
  <si>
    <t>Resistor_360k_1_0603</t>
  </si>
  <si>
    <t>Резистор номиналом 360 кОм 1%</t>
  </si>
  <si>
    <t>360 к</t>
  </si>
  <si>
    <t>RJ45-8p8c</t>
  </si>
  <si>
    <t>https://cdn.promelec.ru/upload/items/2021/01/20/ENG_CD_406541_T.pdf</t>
  </si>
  <si>
    <t>Resistor_390k_1_0603</t>
  </si>
  <si>
    <t>Резистор номиналом 390 кОм 1%</t>
  </si>
  <si>
    <t>HR911130A</t>
  </si>
  <si>
    <t>Однопортовый магнитный разъем RJ45 100/1000Base-T со встроенным трансформатором и светодиодами</t>
  </si>
  <si>
    <t>390 к</t>
  </si>
  <si>
    <t>Schematic\Connectors\HR911130A.SchLib</t>
  </si>
  <si>
    <t>Footprints\Connectors\HR911130A.PcbLib</t>
  </si>
  <si>
    <t>https://cdn.promelec.ru/upload/items/2023/08/23/HR911130A_.pdf</t>
  </si>
  <si>
    <t>Resistor_430k_1_0603</t>
  </si>
  <si>
    <t>Резистор номиналом 430 кОм 1%</t>
  </si>
  <si>
    <t>USB_type_C_16PF-026</t>
  </si>
  <si>
    <t>USB2.0 TYPE-C 16PF-026, Разъём USB TYPE-C - розетка в плату</t>
  </si>
  <si>
    <t>430 к</t>
  </si>
  <si>
    <t>Schematic\Connectors\USB_type_C_16PF-026.SchLib</t>
  </si>
  <si>
    <t>Footprints\Connectors\16PF-026.PcbLib</t>
  </si>
  <si>
    <t>16PF-026</t>
  </si>
  <si>
    <t>https://ruichi.ru/files/107841-716042290d9ed014628a96fd01272154.pdf</t>
  </si>
  <si>
    <t>467650001_microHDMI</t>
  </si>
  <si>
    <t>Разъем Micro HDMI с шагом контактов 0,40 мм, угловой разъем, для поверхностного монтажа, 19 контактов</t>
  </si>
  <si>
    <t>Schematic\Connectors\467650001.SchLib</t>
  </si>
  <si>
    <t>Resistor_470k_1_0603</t>
  </si>
  <si>
    <t>Резистор номиналом 470 кОм 1%</t>
  </si>
  <si>
    <t>Footprints\Connectors\467650001.PcbLib</t>
  </si>
  <si>
    <t>https://www.molex.com/content/dam/molex/molex-dot-com/products/automated/en-us/salesdrawingpdf/467/46765/467650001_sd.pdf?inline</t>
  </si>
  <si>
    <t>470 к</t>
  </si>
  <si>
    <t>USB 3.0A DS1095-05</t>
  </si>
  <si>
    <t>Разъем USB 3.0 тип A, 9 контактов, мама, угловой.</t>
  </si>
  <si>
    <t>Schematic\Connectors\USB3.0A_DS1095-05.SchLib</t>
  </si>
  <si>
    <t>USB3.0A_DS1095-05</t>
  </si>
  <si>
    <t>Footprints\Connectors\USB3.0A_DS1095-05.PcbLib</t>
  </si>
  <si>
    <t>https://static.chipdip.ru/lib/553/DOC059553898.pdf</t>
  </si>
  <si>
    <t>Resistor_510k_1_0603</t>
  </si>
  <si>
    <t>Резистор номиналом 510 кОм 1%</t>
  </si>
  <si>
    <t>DM3AT-SF-PEJM5</t>
  </si>
  <si>
    <t>Разъем для microSD карты памяти угл.8к.1.1мм SMT</t>
  </si>
  <si>
    <t>510 к</t>
  </si>
  <si>
    <t>Schematic\Connectors\DM3AT-SF-PEJM5.SchLib</t>
  </si>
  <si>
    <t>Footprints\Connectors\DM3AT-SF-PEJM5.PcbLib</t>
  </si>
  <si>
    <t>https://static.chipdip.ru/lib/795/DOC059795377.pdf</t>
  </si>
  <si>
    <t>BM04B-SRSS-TB</t>
  </si>
  <si>
    <t>Разъем штыревой на плату, поверхностый монтаж, вертикальный, 4 контакта, шаг 1 мм</t>
  </si>
  <si>
    <t>Resistor_560k_1_0603</t>
  </si>
  <si>
    <t>Резистор номиналом 560 кОм 1%</t>
  </si>
  <si>
    <t>560 к</t>
  </si>
  <si>
    <t>Conn_4pin_sh</t>
  </si>
  <si>
    <t>https://static.chipdip.ru/lib/149/DOC007149929.pdf</t>
  </si>
  <si>
    <t>Resistor_620k_1_0603</t>
  </si>
  <si>
    <t>Резистор номиналом 620 кОм 1%</t>
  </si>
  <si>
    <t>Mini-USB-B5F</t>
  </si>
  <si>
    <t>Разъем mini USB, розетка угловая на плату</t>
  </si>
  <si>
    <t>KLS1-229-5FA</t>
  </si>
  <si>
    <t>620 к</t>
  </si>
  <si>
    <t>https://static.chipdip.ru/lib/743/DOC016743759.pdf</t>
  </si>
  <si>
    <t>Resistor_680k_1_0603</t>
  </si>
  <si>
    <t>Резистор номиналом 680 кОм 1%</t>
  </si>
  <si>
    <t>680 к</t>
  </si>
  <si>
    <t>Resistor_750k_1_0603</t>
  </si>
  <si>
    <t>Резистор номиналом 750 кОм 1%</t>
  </si>
  <si>
    <t>750 к</t>
  </si>
  <si>
    <t>Resistor_820k_1_0603</t>
  </si>
  <si>
    <t>Резистор номиналом 820 кОм 1%</t>
  </si>
  <si>
    <t>820 к</t>
  </si>
  <si>
    <t>Resistor_910k_1_0603</t>
  </si>
  <si>
    <t>Резистор номиналом 910 кОм 1%</t>
  </si>
  <si>
    <t>910 к</t>
  </si>
  <si>
    <t>Resistor_1.0M_1_0603</t>
  </si>
  <si>
    <t>Резистор номиналом 1,0 МОм 1%</t>
  </si>
  <si>
    <t>1,0 М</t>
  </si>
  <si>
    <t>Resistor_1.1M_1_0603</t>
  </si>
  <si>
    <t>Резистор номиналом 1,1 МОм 1%</t>
  </si>
  <si>
    <t>1,1 М</t>
  </si>
  <si>
    <t>Resistor_1.2M_1_0603</t>
  </si>
  <si>
    <t>Резистор номиналом 1,2 МОм 1%</t>
  </si>
  <si>
    <t>1,2 М</t>
  </si>
  <si>
    <t>Resistor_1.3M_1_0603</t>
  </si>
  <si>
    <t>Резистор номиналом 1,3 МОм 1%</t>
  </si>
  <si>
    <t>1,3 М</t>
  </si>
  <si>
    <t>Resistor_1.5M_1_0603</t>
  </si>
  <si>
    <t>Резистор номиналом 1,5 МОм 1%</t>
  </si>
  <si>
    <t>1,5 М</t>
  </si>
  <si>
    <t>Resistor_1.6M_1_0603</t>
  </si>
  <si>
    <t>Резистор номиналом 1,6 МОм 1%</t>
  </si>
  <si>
    <t>1,6 М</t>
  </si>
  <si>
    <t>Resistor_1.8M_1_0603</t>
  </si>
  <si>
    <t>Резистор номиналом 1,8 МОм 1%</t>
  </si>
  <si>
    <t>1,8 М</t>
  </si>
  <si>
    <t>Resistor_2.0M_1_0603</t>
  </si>
  <si>
    <t>Резистор номиналом 2,0 МОм 1%</t>
  </si>
  <si>
    <t>2,0 М</t>
  </si>
  <si>
    <t>Resistor_2.2M_1_0603</t>
  </si>
  <si>
    <t>Резистор номиналом 2,2 МОм 1%</t>
  </si>
  <si>
    <t>2,2 М</t>
  </si>
  <si>
    <t>Resistor_2.4M_1_0603</t>
  </si>
  <si>
    <t>Резистор номиналом 2,4 МОм 1%</t>
  </si>
  <si>
    <t>2,4 М</t>
  </si>
  <si>
    <t>Resistor_2.7M_1_0603</t>
  </si>
  <si>
    <t>Резистор номиналом 2,7 МОм 1%</t>
  </si>
  <si>
    <t>2,7 М</t>
  </si>
  <si>
    <t>Resistor_3.0M_1_0603</t>
  </si>
  <si>
    <t>Резистор номиналом 3,0 МОм 1%</t>
  </si>
  <si>
    <t>3,0 М</t>
  </si>
  <si>
    <t>Resistor_3.3M_1_0603</t>
  </si>
  <si>
    <t>Резистор номиналом 3,3 МОм 1%</t>
  </si>
  <si>
    <t>3,3 М</t>
  </si>
  <si>
    <t>Resistor_3.6M_1_0603</t>
  </si>
  <si>
    <t>Резистор номиналом 3,6 МОм 1%</t>
  </si>
  <si>
    <t>3,6 М</t>
  </si>
  <si>
    <t>Resistor_3.9M_1_0603</t>
  </si>
  <si>
    <t>Резистор номиналом 3,9 МОм 1%</t>
  </si>
  <si>
    <t>3,9 М</t>
  </si>
  <si>
    <t>Resistor_4.3M_1_0603</t>
  </si>
  <si>
    <t>Резистор номиналом 4,3 МОм 1%</t>
  </si>
  <si>
    <t>4,3 М</t>
  </si>
  <si>
    <t>Resistor_4.7M_1_0603</t>
  </si>
  <si>
    <t>Резистор номиналом 4,7 МОм 1%</t>
  </si>
  <si>
    <t>4,7 М</t>
  </si>
  <si>
    <t>Resistor_5.1M_1_0603</t>
  </si>
  <si>
    <t>Резистор номиналом 5,1 МОм 1%</t>
  </si>
  <si>
    <t>5,1 М</t>
  </si>
  <si>
    <t>Resistor_5.6M_1_0603</t>
  </si>
  <si>
    <t>Резистор номиналом 5,6 МОм 1%</t>
  </si>
  <si>
    <t>5,6 М</t>
  </si>
  <si>
    <t>Resistor_6.2M_1_0603</t>
  </si>
  <si>
    <t>Резистор номиналом 6,2 МОм 1%</t>
  </si>
  <si>
    <t>6,2 М</t>
  </si>
  <si>
    <t>Resistor_6.8M_1_0603</t>
  </si>
  <si>
    <t>Резистор номиналом 6,8 МОм 1%</t>
  </si>
  <si>
    <t>6,8 М</t>
  </si>
  <si>
    <t>Resistor_7.5M_1_0603</t>
  </si>
  <si>
    <t>Резистор номиналом 7,5 МОм 1%</t>
  </si>
  <si>
    <t>7,5 М</t>
  </si>
  <si>
    <t>Resistor_8.2M_1_0603</t>
  </si>
  <si>
    <t>Резистор номиналом 8,2 МОм 1%</t>
  </si>
  <si>
    <t>8,2 М</t>
  </si>
  <si>
    <t>Resistor_9.1M_1_0603</t>
  </si>
  <si>
    <t>Резистор номиналом 9,1 МОм 1%</t>
  </si>
  <si>
    <t>9,1 М</t>
  </si>
  <si>
    <t>Resistor_10M_1_0603</t>
  </si>
  <si>
    <t>Резистор номиналом 10 МОм 1%</t>
  </si>
  <si>
    <t>10 М</t>
  </si>
  <si>
    <t>TC33X-2-102E</t>
  </si>
  <si>
    <t>Потенциометр керметный 1кОм 0.1Вт для поверхностного монтажа</t>
  </si>
  <si>
    <t>Schematic\trim_res.SchLib</t>
  </si>
  <si>
    <t>trim_res</t>
  </si>
  <si>
    <t>1 к</t>
  </si>
  <si>
    <t>Footprints/Resistors/3mm_trim.PcbLib</t>
  </si>
  <si>
    <t>3mm_trim</t>
  </si>
  <si>
    <t>TC33X-2-101E</t>
  </si>
  <si>
    <t>Потенциометр керметный 100 Ом 0.1Вт для поверхностного монтажа</t>
  </si>
  <si>
    <t>TC33X-2-503E</t>
  </si>
  <si>
    <t>Потенциометр однооборотный керметный 50кОм 0.1Вт ±25% SMD лента на катушке</t>
  </si>
  <si>
    <t>50 к</t>
  </si>
  <si>
    <t>CRE2512-FZ-R005E-3</t>
  </si>
  <si>
    <t>Резистор номиналом 5 мОм 1%, 3Вт</t>
  </si>
  <si>
    <t>5 м</t>
  </si>
  <si>
    <t>RL1210FR-070R01L</t>
  </si>
  <si>
    <t>Резистор номиналом 10 мОм 1%, 0.5Вт</t>
  </si>
  <si>
    <t>10 м</t>
  </si>
  <si>
    <t>res_0603_N/A</t>
  </si>
  <si>
    <t>посадочное место 0603 под перемычку</t>
  </si>
  <si>
    <t>N/A</t>
  </si>
  <si>
    <t>Resistor_0.22_1_2512</t>
  </si>
  <si>
    <t>Резистор номиналом 0,22 Ом 1%</t>
  </si>
  <si>
    <t>RC0603FR-072K49L</t>
  </si>
  <si>
    <t>0.1Вт 0603 2.49 кОм, 1%, Чип резистор</t>
  </si>
  <si>
    <t>2,49 к</t>
  </si>
  <si>
    <t>Resistor_1.0k_1_0402</t>
  </si>
  <si>
    <t>Footprints/Resistors/0402R.PcbLib</t>
  </si>
  <si>
    <t>0402R</t>
  </si>
  <si>
    <t>Resistor_4.7k_1_0402</t>
  </si>
  <si>
    <t>Resistor_470_1_0402</t>
  </si>
  <si>
    <t>Resistor_68_1_2512</t>
  </si>
  <si>
    <t>Resistor_33_1_2512</t>
  </si>
  <si>
    <t>Resistor_47_1_0805</t>
  </si>
  <si>
    <t>Footprints/Resistors/0805R.PcbLib</t>
  </si>
  <si>
    <t>0805R</t>
  </si>
  <si>
    <t>Resistor_1k_0805</t>
  </si>
  <si>
    <t>Резистор номиналом 1 кОм 1%</t>
  </si>
  <si>
    <t>Resistor_0_5_0603</t>
  </si>
  <si>
    <t>Резистор номиналом 0 Ом 5%</t>
  </si>
  <si>
    <t>0</t>
  </si>
  <si>
    <t>Resistor_120_1_1206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</si>
</sst>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1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rgb="FF000000"/>
      <name val="Calibri"/>
      <family val="2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color rgb="FF222222"/>
      <name val="Calibri"/>
      <family val="2"/>
    </font>
    <font>
      <u val="single"/>
      <sz val="11"/>
      <color theme="10"/>
      <name val="Calibri"/>
      <family val="2"/>
    </font>
    <font>
      <u val="single"/>
      <sz val="11"/>
      <color rgb="FF0000FF"/>
      <name val="Roboto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 style="thin">
        <color rgb="FF9CC2E5"/>
      </right>
      <top style="thin">
        <color rgb="FF9CC2E5"/>
      </top>
      <bottom style="thin">
        <color rgb="FF9CC2E5"/>
      </bottom>
    </border>
    <border>
      <left style="thin">
        <color rgb="FF9CC2E5"/>
      </left>
      <right/>
      <top style="thin">
        <color rgb="FF9CC2E5"/>
      </top>
      <bottom style="thin">
        <color rgb="FF9CC2E5"/>
      </bottom>
    </border>
    <border>
      <left/>
      <right/>
      <top style="thin">
        <color rgb="FF9CC2E5"/>
      </top>
      <bottom style="thin">
        <color rgb="FF9CC2E5"/>
      </bottom>
    </border>
    <border>
      <left style="thin">
        <color rgb="FF9CC2E5"/>
      </left>
      <right/>
      <top style="thin">
        <color rgb="FF9CC2E5"/>
      </top>
      <bottom/>
    </border>
    <border>
      <left/>
      <right/>
      <top style="thin">
        <color rgb="FF9CC2E5"/>
      </top>
      <bottom/>
    </border>
    <border>
      <left/>
      <right style="thin">
        <color rgb="FF9CC2E5"/>
      </right>
      <top style="thin">
        <color rgb="FF9CC2E5"/>
      </top>
      <bottom/>
    </border>
    <border>
      <left style="thin">
        <color rgb="FF9CC2E5"/>
      </left>
      <right/>
      <top/>
      <bottom style="thin">
        <color rgb="FF9CC2E5"/>
      </bottom>
    </border>
    <border>
      <left/>
      <right/>
      <top/>
      <bottom style="thin">
        <color rgb="FF9CC2E5"/>
      </bottom>
    </border>
  </borders>
  <cellStyleXfs count="6">
    <xf numFmtId="0" fontId="0" fillId="0" borderId="0">
      <alignment/>
      <protection/>
    </xf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1">
    <xf numFmtId="0" fontId="0" fillId="0" borderId="0" xfId="0" applyFont="1" applyAlignment="1">
      <alignment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>
      <alignment/>
    </xf>
    <xf numFmtId="49" fontId="4" fillId="0" borderId="0" xfId="0" applyNumberFormat="1" applyFont="1" applyAlignment="1">
      <alignment vertical="center"/>
    </xf>
    <xf numFmtId="164" fontId="5" fillId="0" borderId="0" xfId="0" applyNumberFormat="1" applyFont="1" applyAlignment="1">
      <alignment horizontal="left" vertical="center"/>
    </xf>
    <xf numFmtId="0" fontId="0" fillId="0" borderId="0" xfId="0" applyFont="1" applyAlignment="1">
      <alignment vertical="center"/>
    </xf>
    <xf numFmtId="9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164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horizontal="right" vertical="center"/>
    </xf>
    <xf numFmtId="49" fontId="4" fillId="0" borderId="0" xfId="0" applyNumberFormat="1" applyFont="1">
      <alignment/>
    </xf>
    <xf numFmtId="0" fontId="6" fillId="0" borderId="0" xfId="0" applyFont="1" applyAlignment="1">
      <alignment vertical="center" wrapText="1"/>
    </xf>
    <xf numFmtId="164" fontId="4" fillId="0" borderId="0" xfId="0" applyNumberFormat="1" applyFont="1">
      <alignment/>
    </xf>
    <xf numFmtId="0" fontId="7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10" fontId="2" fillId="0" borderId="0" xfId="0" applyNumberFormat="1" applyFont="1" applyAlignment="1">
      <alignment horizontal="right" vertical="center"/>
    </xf>
    <xf numFmtId="0" fontId="4" fillId="0" borderId="3" xfId="0" applyFont="1" applyBorder="1" applyAlignment="1">
      <alignment vertical="center"/>
    </xf>
    <xf numFmtId="49" fontId="4" fillId="0" borderId="3" xfId="0" applyNumberFormat="1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9" fontId="2" fillId="0" borderId="0" xfId="0" applyNumberFormat="1" applyFont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49" fontId="4" fillId="0" borderId="5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4" fillId="3" borderId="5" xfId="0" applyFont="1" applyFill="1" applyBorder="1" applyAlignment="1">
      <alignment vertical="center"/>
    </xf>
    <xf numFmtId="49" fontId="4" fillId="3" borderId="2" xfId="0" applyNumberFormat="1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49" fontId="4" fillId="3" borderId="3" xfId="0" applyNumberFormat="1" applyFont="1" applyFill="1" applyBorder="1" applyAlignment="1">
      <alignment vertical="center"/>
    </xf>
    <xf numFmtId="49" fontId="4" fillId="3" borderId="1" xfId="0" applyNumberFormat="1" applyFont="1" applyFill="1" applyBorder="1" applyAlignment="1">
      <alignment vertical="center"/>
    </xf>
    <xf numFmtId="0" fontId="0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49" fontId="9" fillId="0" borderId="0" xfId="0" applyNumberFormat="1" applyFont="1" applyAlignment="1">
      <alignment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49" fontId="10" fillId="2" borderId="8" xfId="0" applyNumberFormat="1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49" fontId="4" fillId="4" borderId="3" xfId="0" applyNumberFormat="1" applyFont="1" applyFill="1" applyBorder="1" applyAlignment="1">
      <alignment vertical="center"/>
    </xf>
    <xf numFmtId="49" fontId="4" fillId="4" borderId="1" xfId="0" applyNumberFormat="1" applyFont="1" applyFill="1" applyBorder="1" applyAlignment="1">
      <alignment vertical="center"/>
    </xf>
    <xf numFmtId="49" fontId="4" fillId="4" borderId="0" xfId="0" applyNumberFormat="1" applyFont="1" applyFill="1" applyBorder="1" applyAlignment="1">
      <alignment vertical="center"/>
    </xf>
    <xf numFmtId="0" fontId="10" fillId="2" borderId="1" xfId="0" applyFont="1" applyFill="1" applyBorder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164" fontId="0" fillId="0" borderId="0" xfId="0" applyNumberFormat="1" applyFont="1" applyAlignment="1">
      <alignment vertical="center"/>
    </xf>
    <xf numFmtId="164" fontId="2" fillId="0" borderId="0" xfId="0" applyNumberFormat="1" applyFont="1">
      <alignment/>
    </xf>
    <xf numFmtId="49" fontId="2" fillId="3" borderId="2" xfId="0" applyNumberFormat="1" applyFont="1" applyFill="1" applyBorder="1" applyAlignment="1">
      <alignment vertical="center"/>
    </xf>
    <xf numFmtId="49" fontId="2" fillId="3" borderId="3" xfId="0" applyNumberFormat="1" applyFont="1" applyFill="1" applyBorder="1" applyAlignment="1">
      <alignment vertical="center"/>
    </xf>
    <xf numFmtId="49" fontId="7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3" borderId="6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9" fontId="2" fillId="0" borderId="0" xfId="0" applyNumberFormat="1" applyFont="1" applyAlignment="1">
      <alignment horizontal="right" vertical="center"/>
    </xf>
    <xf numFmtId="49" fontId="2" fillId="0" borderId="0" xfId="0" applyNumberFormat="1" applyFont="1">
      <alignment/>
    </xf>
    <xf numFmtId="9" fontId="2" fillId="0" borderId="0" xfId="0" applyNumberFormat="1" applyFont="1">
      <alignment/>
    </xf>
    <xf numFmtId="0" fontId="2" fillId="3" borderId="6" xfId="0" applyFont="1" applyFill="1" applyBorder="1">
      <alignment/>
    </xf>
  </cellXfs>
  <cellStyles count="6">
    <cellStyle name="Normal" xfId="0" builtinId="0"/>
    <cellStyle name="Percent" xfId="1" builtinId="5"/>
    <cellStyle name="Currency" xfId="2" builtinId="4"/>
    <cellStyle name="Currency [0]" xfId="3" builtinId="7"/>
    <cellStyle name="Comma" xfId="4" builtinId="3"/>
    <cellStyle name="Comma [0]" xfId="5" builtinId="6"/>
  </cellStyles>
  <dxfs count="5">
    <dxf>
      <fill>
        <patternFill patternType="none"/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14">
    <tableStyle name="Zener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TVS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Schottky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Chips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Transistors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Resistors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Rectifier_diodes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Capacitors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Capacitors_ceramic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Capacitors_electrolytic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Inductance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Thyristors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Other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  <tableStyle name="Connectors-style" pivot="0" table="0" count="4">
      <tableStyleElement type="headerRow" dxfId="1"/>
      <tableStyleElement type="firstRowStripe" dxfId="2"/>
      <tableStyleElement type="secondRowStripe" dxfId="3"/>
      <tableStyleElement type="wholeTable" size="0" dxfId="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6" Type="http://schemas.openxmlformats.org/officeDocument/2006/relationships/worksheet" Target="worksheets/sheet4.xml" /><Relationship Id="rId16" Type="http://schemas.openxmlformats.org/officeDocument/2006/relationships/worksheet" Target="worksheets/sheet14.xml" /><Relationship Id="rId8" Type="http://schemas.openxmlformats.org/officeDocument/2006/relationships/worksheet" Target="worksheets/sheet6.xml" /><Relationship Id="rId2" Type="http://schemas.openxmlformats.org/officeDocument/2006/relationships/styles" Target="styles.xml" /><Relationship Id="rId13" Type="http://schemas.openxmlformats.org/officeDocument/2006/relationships/worksheet" Target="worksheets/sheet11.xml" /><Relationship Id="rId1" Type="http://schemas.openxmlformats.org/officeDocument/2006/relationships/theme" Target="theme/theme1.xml" /><Relationship Id="rId9" Type="http://schemas.openxmlformats.org/officeDocument/2006/relationships/worksheet" Target="worksheets/sheet7.xml" /><Relationship Id="rId7" Type="http://schemas.openxmlformats.org/officeDocument/2006/relationships/worksheet" Target="worksheets/sheet5.xml" /><Relationship Id="rId5" Type="http://schemas.openxmlformats.org/officeDocument/2006/relationships/worksheet" Target="worksheets/sheet3.xml" /><Relationship Id="rId12" Type="http://schemas.openxmlformats.org/officeDocument/2006/relationships/worksheet" Target="worksheets/sheet10.xml" /><Relationship Id="rId17" Type="http://schemas.openxmlformats.org/officeDocument/2006/relationships/sharedStrings" Target="sharedStrings.xml" /><Relationship Id="rId10" Type="http://schemas.openxmlformats.org/officeDocument/2006/relationships/worksheet" Target="worksheets/sheet8.xml" /><Relationship Id="rId18" Type="http://schemas.openxmlformats.org/officeDocument/2006/relationships/calcChain" Target="calcChain.xml" /><Relationship Id="rId11" Type="http://schemas.openxmlformats.org/officeDocument/2006/relationships/worksheet" Target="worksheets/sheet9.xml" /><Relationship Id="rId3" Type="http://schemas.openxmlformats.org/officeDocument/2006/relationships/worksheet" Target="worksheets/sheet1.xml" /><Relationship Id="rId14" Type="http://schemas.openxmlformats.org/officeDocument/2006/relationships/worksheet" Target="worksheets/sheet12.xml" /><Relationship Id="rId4" Type="http://schemas.openxmlformats.org/officeDocument/2006/relationships/worksheet" Target="worksheets/sheet2.xml" /><Relationship Id="rId15" Type="http://schemas.openxmlformats.org/officeDocument/2006/relationships/worksheet" Target="worksheets/sheet13.xml" /></Relationships>
</file>

<file path=xl/tables/table1.xml><?xml version="1.0" encoding="utf-8"?>
<table xmlns="http://schemas.openxmlformats.org/spreadsheetml/2006/main" id="1" name="Таблица1" displayName="Таблица1" ref="A1:M70"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Datasheet"/>
    <tableColumn id="13" name="Автор"/>
  </tableColumns>
  <tableStyleInfo name="Chips-style" showFirstColumn="1" showLastColumn="1" showRowStripes="1" showColumnStripes="0"/>
</table>
</file>

<file path=xl/tables/table2.xml><?xml version="1.0" encoding="utf-8"?>
<table xmlns="http://schemas.openxmlformats.org/spreadsheetml/2006/main" id="4" name="Таблица4" displayName="Таблица4" ref="A1:K12">
  <tableColumns count="11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Datasheet"/>
    <tableColumn id="11" name="Автор"/>
  </tableColumns>
  <tableStyleInfo name="Schottky-style" showFirstColumn="1" showLastColumn="1" showRowStripes="1" showColumnStripes="0"/>
</table>
</file>

<file path=xl/tables/table3.xml><?xml version="1.0" encoding="utf-8"?>
<table xmlns="http://schemas.openxmlformats.org/spreadsheetml/2006/main" id="2" name="Таблица2" displayName="Таблица2" ref="A1:N6"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Power (W)"/>
    <tableColumn id="11" name="Value"/>
    <tableColumn id="12" name="Accuracy"/>
    <tableColumn id="13" name="Datasheet"/>
    <tableColumn id="14" name="Автор"/>
  </tableColumns>
  <tableStyleInfo name="Zener-style" showFirstColumn="1" showLastColumn="1" showRowStripes="1" showColumnStripes="0"/>
</table>
</file>

<file path=xl/tables/table4.xml><?xml version="1.0" encoding="utf-8"?>
<table xmlns="http://schemas.openxmlformats.org/spreadsheetml/2006/main" id="3" name="Таблица3" displayName="Таблица3" ref="A1:M14"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Power (W)"/>
    <tableColumn id="10" name="Value"/>
    <tableColumn id="11" name="Interface"/>
    <tableColumn id="12" name="Datasheet"/>
    <tableColumn id="13" name="Автор"/>
  </tableColumns>
  <tableStyleInfo name="TVS-style" showFirstColumn="1" showLastColumn="1" showRowStripes="1" showColumnStripes="0"/>
</table>
</file>

<file path=xl/tables/table5.xml><?xml version="1.0" encoding="utf-8"?>
<table xmlns="http://schemas.openxmlformats.org/spreadsheetml/2006/main" id="5" name="Таблица5" displayName="Таблица5" ref="A1:M20"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 (A)"/>
    <tableColumn id="12" name="Datasheet"/>
    <tableColumn id="13" name="Автор"/>
  </tableColumns>
  <tableStyleInfo name="Transistors-style" showFirstColumn="1" showLastColumn="1" showRowStripes="1" showColumnStripes="0"/>
</table>
</file>

<file path=xl/tables/table6.xml><?xml version="1.0" encoding="utf-8"?>
<table xmlns="http://schemas.openxmlformats.org/spreadsheetml/2006/main" id="6" name="Таблица6" displayName="Таблица6" ref="A1:O190">
  <tableColumns count="15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Footprint Path 1"/>
    <tableColumn id="9" name="Footprint Ref 1"/>
    <tableColumn id="10" name="Footprint Path 2"/>
    <tableColumn id="11" name="Footprint Ref 2"/>
    <tableColumn id="12" name="Footprint Path 3"/>
    <tableColumn id="13" name="Footprint Ref 3"/>
    <tableColumn id="14" name="Datasheet"/>
    <tableColumn id="15" name="Автор"/>
  </tableColumns>
  <tableStyleInfo name="Resistors-style" showFirstColumn="1" showLastColumn="1" showRowStripes="1" showColumnStripes="0"/>
</table>
</file>

<file path=xl/tables/table7.xml><?xml version="1.0" encoding="utf-8"?>
<table xmlns="http://schemas.openxmlformats.org/spreadsheetml/2006/main" id="7" name="Таблица215" displayName="Таблица215" ref="A1:L6"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 "/>
    <tableColumn id="10" name="Power (W)"/>
    <tableColumn id="11" name="Datasheet"/>
    <tableColumn id="12" name="Автор"/>
  </tableColumns>
  <tableStyleInfo name="Rectifier_diodes-style" showFirstColumn="1" showLastColumn="1" showRowStripes="1" showColumnStripes="0"/>
</table>
</file>

<file path=xl/tables/table8.xml><?xml version="1.0" encoding="utf-8"?>
<table xmlns="http://schemas.openxmlformats.org/spreadsheetml/2006/main" id="8" name="Таблица7" displayName="Таблица7" ref="A1:V3">
  <tableColumns count="22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Footprint Path 1"/>
    <tableColumn id="8" name="Footprint Ref 1"/>
    <tableColumn id="9" name="Footprint Path 2"/>
    <tableColumn id="10" name="Footprint Ref 2"/>
    <tableColumn id="11" name="Footprint Path 3"/>
    <tableColumn id="12" name="Footprint Ref 3"/>
    <tableColumn id="13" name="Footprint Path 4"/>
    <tableColumn id="14" name="Footprint Ref 4"/>
    <tableColumn id="15" name="Footprint Path 5"/>
    <tableColumn id="16" name="Footprint Ref 5"/>
    <tableColumn id="17" name="Footprint Path 6"/>
    <tableColumn id="18" name="Footprint Ref 6"/>
    <tableColumn id="19" name="Footprint Path 7"/>
    <tableColumn id="20" name="Footprint Ref 7"/>
    <tableColumn id="21" name="Datasheet"/>
    <tableColumn id="22" name="Автор"/>
  </tableColumns>
  <tableStyleInfo name="Capacitors-style" showFirstColumn="1" showLastColumn="1" showRowStripes="1" showColumnStripes="0"/>
</table>
</file>

<file path=xl/tables/table9.xml><?xml version="1.0" encoding="utf-8"?>
<table xmlns="http://schemas.openxmlformats.org/spreadsheetml/2006/main" id="9" name="Таблица11" displayName="Таблица11" ref="A1:N57"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Dielectric"/>
    <tableColumn id="10" name="Footprint Path 1"/>
    <tableColumn id="11" name="Footprint Ref 1"/>
    <tableColumn id="12" name="Capacity (nF)"/>
    <tableColumn id="13" name="Datasheet"/>
    <tableColumn id="14" name="Автор"/>
  </tableColumns>
  <tableStyleInfo name="Capacitors_ceramic-style" showFirstColumn="1" showLastColumn="1" showRowStripes="1" showColumnStripes="0"/>
</table>
</file>

<file path=xl/tables/table10.xml><?xml version="1.0" encoding="utf-8"?>
<table xmlns="http://schemas.openxmlformats.org/spreadsheetml/2006/main" id="10" name="Таблица12" displayName="Таблица12" ref="A1:P30"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Type"/>
    <tableColumn id="10" name="Footprint Path 1"/>
    <tableColumn id="11" name="Footprint Ref 1"/>
    <tableColumn id="12" name="Capacity (uF)"/>
    <tableColumn id="13" name="Footprint Path 2"/>
    <tableColumn id="14" name="Footprint Ref 2"/>
    <tableColumn id="15" name="Datasheet"/>
    <tableColumn id="16" name="Автор"/>
  </tableColumns>
  <tableStyleInfo name="Capacitors_electrolytic-style" showFirstColumn="1" showLastColumn="1" showRowStripes="1" showColumnStripes="0"/>
</table>
</file>

<file path=xl/tables/table11.xml><?xml version="1.0" encoding="utf-8"?>
<table xmlns="http://schemas.openxmlformats.org/spreadsheetml/2006/main" id="11" name="Таблица10" displayName="Таблица10" ref="A1:R30">
  <tableColumns count="18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Inductance (μH)"/>
    <tableColumn id="15" name="Current"/>
    <tableColumn id="16" name="Value"/>
    <tableColumn id="17" name="Datasheet"/>
    <tableColumn id="18" name="Автор"/>
  </tableColumns>
  <tableStyleInfo name="Inductance-style" showFirstColumn="1" showLastColumn="1" showRowStripes="1" showColumnStripes="0"/>
</table>
</file>

<file path=xl/tables/table12.xml><?xml version="1.0" encoding="utf-8"?>
<table xmlns="http://schemas.openxmlformats.org/spreadsheetml/2006/main" id="12" name="Таблица1014" displayName="Таблица1014" ref="A1:M2"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"/>
    <tableColumn id="12" name="Datasheet"/>
    <tableColumn id="13" name="Автор"/>
  </tableColumns>
  <tableStyleInfo name="Thyristors-style" showFirstColumn="1" showLastColumn="1" showRowStripes="1" showColumnStripes="0"/>
</table>
</file>

<file path=xl/tables/table13.xml><?xml version="1.0" encoding="utf-8"?>
<table xmlns="http://schemas.openxmlformats.org/spreadsheetml/2006/main" id="13" name="Таблица8" displayName="Таблица8" ref="A1:P28"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Value"/>
    <tableColumn id="15" name="Datasheet"/>
    <tableColumn id="16" name="Автор"/>
  </tableColumns>
  <tableStyleInfo name="Other-style" showFirstColumn="1" showLastColumn="1" showRowStripes="1" showColumnStripes="0"/>
</table>
</file>

<file path=xl/tables/table14.xml><?xml version="1.0" encoding="utf-8"?>
<table xmlns="http://schemas.openxmlformats.org/spreadsheetml/2006/main" id="14" name="Таблица9" displayName="Таблица9" ref="A1:L68"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Datasheet"/>
    <tableColumn id="11" name="System"/>
    <tableColumn id="12" name="Автор"/>
  </tableColumns>
  <tableStyleInfo name="Connectors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<Relationships xmlns="http://schemas.openxmlformats.org/package/2006/relationships"><Relationship Id="rId6" Type="http://schemas.openxmlformats.org/officeDocument/2006/relationships/hyperlink" Target="https://static.chipdip.ru/lib/529/DOC010529789.pdf" TargetMode="External" /><Relationship Id="rId8" Type="http://schemas.openxmlformats.org/officeDocument/2006/relationships/hyperlink" Target="https://static.chipdip.ru/lib/416/DOC012416105.pdf" TargetMode="External" /><Relationship Id="rId2" Type="http://schemas.openxmlformats.org/officeDocument/2006/relationships/hyperlink" Target="https://cdn.promelec.ru/upload/datasheet/6/4/CD00284753.pdf" TargetMode="External" /><Relationship Id="rId13" Type="http://schemas.openxmlformats.org/officeDocument/2006/relationships/hyperlink" Target="https://www.onsemi.com/pdf/datasheet/lm317-d.pdf" TargetMode="External" /><Relationship Id="rId1" Type="http://schemas.openxmlformats.org/officeDocument/2006/relationships/hyperlink" Target="https://cdn.promelec.ru/upload/datasheet/1/3/Infineon-IRS21867-DS-v01_01-EN.pdf" TargetMode="External" /><Relationship Id="rId9" Type="http://schemas.openxmlformats.org/officeDocument/2006/relationships/hyperlink" Target="https://static.chipdip.ru/lib/986/DOC003986581.pdf" TargetMode="External" /><Relationship Id="rId7" Type="http://schemas.openxmlformats.org/officeDocument/2006/relationships/hyperlink" Target="https://static.chipdip.ru/lib/262/DOC005262075.pdf" TargetMode="External" /><Relationship Id="rId5" Type="http://schemas.openxmlformats.org/officeDocument/2006/relationships/hyperlink" Target="https://static.chipdip.ru/lib/442/DOC011442004.pdf" TargetMode="External" /><Relationship Id="rId12" Type="http://schemas.openxmlformats.org/officeDocument/2006/relationships/hyperlink" Target="https://static.chipdip.ru/lib/375/DOC030375417.pdf" TargetMode="External" /><Relationship Id="rId10" Type="http://schemas.openxmlformats.org/officeDocument/2006/relationships/hyperlink" Target="https://static.chipdip.ru/lib/248/DOC000248445.pdf" TargetMode="External" /><Relationship Id="rId11" Type="http://schemas.openxmlformats.org/officeDocument/2006/relationships/hyperlink" Target="https://static.chipdip.ru/lib/876/DOC015876362.pdf" TargetMode="External" /><Relationship Id="rId3" Type="http://schemas.openxmlformats.org/officeDocument/2006/relationships/hyperlink" Target="https://cdn.promelec.ru/upload/items/2023/10/13/NSi8100NC_.pdf" TargetMode="External" /><Relationship Id="rId14" Type="http://schemas.openxmlformats.org/officeDocument/2006/relationships/table" Target="../tables/table1.xml" /><Relationship Id="rId4" Type="http://schemas.openxmlformats.org/officeDocument/2006/relationships/hyperlink" Target="https://static.chipdip.ru/lib/348/DOC032348430.pdf" TargetMode="External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table" Target="../tables/table3.xml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hyperlink" Target="https://static.chipdip.ru/lib/583/DOC001583049.pdf" TargetMode="External" /><Relationship Id="rId2" Type="http://schemas.openxmlformats.org/officeDocument/2006/relationships/table" Target="../tables/table4.xml" 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hyperlink" Target="https://static.chipdip.ru/lib/647/DOC053647214.pdf" TargetMode="External" /><Relationship Id="rId3" Type="http://schemas.openxmlformats.org/officeDocument/2006/relationships/table" Target="../tables/table5.xml" /><Relationship Id="rId1" Type="http://schemas.openxmlformats.org/officeDocument/2006/relationships/hyperlink" Target="https://www.elitan.ru/pdf/1/0/1/3/3/10133013.pdf" TargetMode="External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table" Target="../tables/table6.xml" /></Relationships>
</file>

<file path=xl/worksheets/_rels/sheet7.xml.rels><?xml version="1.0" encoding="UTF-8" standalone="yes"?><Relationships xmlns="http://schemas.openxmlformats.org/package/2006/relationships"><Relationship Id="rId2" Type="http://schemas.openxmlformats.org/officeDocument/2006/relationships/hyperlink" Target="https://static.chipdip.ru/lib/867/DOC050867185.pdf" TargetMode="External" /><Relationship Id="rId3" Type="http://schemas.openxmlformats.org/officeDocument/2006/relationships/hyperlink" Target="https://static.chipdip.ru/lib/931/DOC030931559.pdf" TargetMode="External" /><Relationship Id="rId1" Type="http://schemas.openxmlformats.org/officeDocument/2006/relationships/hyperlink" Target="https://static.chipdip.ru/lib/868/DOC011868843.pdf" TargetMode="External" /><Relationship Id="rId4" Type="http://schemas.openxmlformats.org/officeDocument/2006/relationships/table" Target="../tables/table7.xml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table" Target="../tables/table8.xml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hyperlink" Target="https://static.chipdip.ru/lib/893/DOC031893419.pdf" TargetMode="External" /><Relationship Id="rId2" Type="http://schemas.openxmlformats.org/officeDocument/2006/relationships/table" Target="../tables/table9.xml" /></Relationships>
</file>

<file path=xl/worksheets/_rels/sheet10.xml.rels><?xml version="1.0" encoding="UTF-8" standalone="yes"?><Relationships xmlns="http://schemas.openxmlformats.org/package/2006/relationships"><Relationship Id="rId2" Type="http://schemas.openxmlformats.org/officeDocument/2006/relationships/hyperlink" Target="http://cdn.promelec.ru/upload/items/2022/11/10/SVPF-Series_.pdf" TargetMode="External" /><Relationship Id="rId3" Type="http://schemas.openxmlformats.org/officeDocument/2006/relationships/table" Target="../tables/table10.xml" /><Relationship Id="rId1" Type="http://schemas.openxmlformats.org/officeDocument/2006/relationships/hyperlink" Target="https://cdn.promelec.ru/upload/datasheet/6/a/AAB8000C177.pdf" TargetMode="External" /></Relationships>
</file>

<file path=xl/worksheets/_rels/sheet11.xml.rels><?xml version="1.0" encoding="UTF-8" standalone="yes"?><Relationships xmlns="http://schemas.openxmlformats.org/package/2006/relationships"><Relationship Id="rId2" Type="http://schemas.openxmlformats.org/officeDocument/2006/relationships/hyperlink" Target="https://static.chipdip.ru/lib/153/DOC004153919.pdf" TargetMode="External" /><Relationship Id="rId3" Type="http://schemas.openxmlformats.org/officeDocument/2006/relationships/hyperlink" Target="https://www.chipdip.ru/product/blm18ag102sn1d-1-kom-0.4a-0603-drossel-podavleniya-murata-9000029220" TargetMode="External" /><Relationship Id="rId1" Type="http://schemas.openxmlformats.org/officeDocument/2006/relationships/hyperlink" Target="https://static.chipdip.ru/lib/153/DOC004153919.pdf" TargetMode="External" /><Relationship Id="rId4" Type="http://schemas.openxmlformats.org/officeDocument/2006/relationships/table" Target="../tables/table11.xml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table" Target="../tables/table12.xml" /></Relationships>
</file>

<file path=xl/worksheets/_rels/sheet13.xml.rels><?xml version="1.0" encoding="UTF-8" standalone="yes"?><Relationships xmlns="http://schemas.openxmlformats.org/package/2006/relationships"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 /><Relationship Id="rId3" Type="http://schemas.openxmlformats.org/officeDocument/2006/relationships/table" Target="../tables/table13.xml" 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 /></Relationships>
</file>

<file path=xl/worksheets/_rels/sheet14.xml.rels><?xml version="1.0" encoding="UTF-8" standalone="yes"?><Relationships xmlns="http://schemas.openxmlformats.org/package/2006/relationships"><Relationship Id="rId2" Type="http://schemas.openxmlformats.org/officeDocument/2006/relationships/hyperlink" Target="https://cdn.promelec.ru/upload/datasheet/3/1/DS1120.pdf" TargetMode="External" /><Relationship Id="rId4" Type="http://schemas.openxmlformats.org/officeDocument/2006/relationships/hyperlink" Target="https://www.molex.com/content/dam/molex/molex-dot-com/products/automated/en-us/salesdrawingpdf/430/43045/430450200_sd.pdf?inline" TargetMode="External" /><Relationship Id="rId5" Type="http://schemas.openxmlformats.org/officeDocument/2006/relationships/hyperlink" Target="https://cdn.promelec.ru/upload/items/2021/01/20/ENG_CD_406541_T.pdf" TargetMode="External" /><Relationship Id="rId7" Type="http://schemas.openxmlformats.org/officeDocument/2006/relationships/hyperlink" Target="https://static.chipdip.ru/lib/149/DOC007149929.pdf" TargetMode="External" /><Relationship Id="rId3" Type="http://schemas.openxmlformats.org/officeDocument/2006/relationships/hyperlink" Target="https://cdn.promelec.ru/upload/datasheet/3/1/DS1120.pdf" TargetMode="External" /><Relationship Id="rId6" Type="http://schemas.openxmlformats.org/officeDocument/2006/relationships/hyperlink" Target="https://cdn.promelec.ru/upload/items/2023/08/23/HR911130A_.pdf" TargetMode="External" /><Relationship Id="rId1" Type="http://schemas.openxmlformats.org/officeDocument/2006/relationships/hyperlink" Target="https://static.chipdip.ru/lib/177/DOC040177951.pdf" TargetMode="External" /><Relationship Id="rId8" Type="http://schemas.openxmlformats.org/officeDocument/2006/relationships/table" Target="../tables/table14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000-000000000000}">
  <dimension ref="A1:T70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21.4285714285714" customWidth="1"/>
    <col min="2" max="2" width="103.285714285714" customWidth="1"/>
    <col min="3" max="3" width="21.4285714285714" customWidth="1"/>
    <col min="4" max="4" width="38" customWidth="1"/>
    <col min="5" max="5" width="21.4285714285714" customWidth="1"/>
    <col min="6" max="6" width="38.2857142857143" customWidth="1"/>
    <col min="7" max="7" width="21.4285714285714" customWidth="1"/>
    <col min="8" max="8" width="22.7142857142857" customWidth="1"/>
    <col min="9" max="9" width="18.2857142857143" customWidth="1"/>
    <col min="10" max="10" width="16.4285714285714" customWidth="1"/>
    <col min="11" max="11" width="14.5714285714286" customWidth="1"/>
    <col min="12" max="12" width="13.2857142857143" customWidth="1"/>
    <col min="13" max="26" width="8.71428571428571" customWidth="1"/>
  </cols>
  <sheetData>
    <row r="1" spans="1:20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13</v>
      </c>
      <c r="N1" s="3"/>
      <c r="O1" s="3"/>
      <c r="P1" s="3"/>
      <c r="Q1" s="3"/>
      <c r="R1" s="3"/>
      <c r="S1" s="3"/>
      <c r="T1" s="3"/>
    </row>
    <row r="2" spans="1:7" ht="14.25" customHeight="1">
      <c r="A2" s="4" t="s">
        <v>18</v>
      </c>
      <c r="B2" s="4" t="s">
        <v>20</v>
      </c>
      <c r="C2" s="4" t="str">
        <f t="shared" si="0" ref="C2:C13">A2</f>
        <v>STM32F407VGT6</v>
      </c>
      <c r="D2" s="4" t="str">
        <f t="shared" si="1" ref="D2:D25">CONCATENATE("Schematic\",A2,".SchLib")</f>
        <v>Schematic\STM32F407VGT6.SchLib</v>
      </c>
      <c r="E2" s="4" t="str">
        <f t="shared" si="2" ref="E2:E25">A2</f>
        <v>STM32F407VGT6</v>
      </c>
      <c r="F2" s="4" t="str">
        <f t="shared" si="3" ref="F2:F25">CONCATENATE("Footprints\",G2,".PcbLib")</f>
        <v>Footprints\LQFP100.PcbLib</v>
      </c>
      <c r="G2" s="4" t="s">
        <v>35</v>
      </c>
    </row>
    <row r="3" spans="1:7" ht="14.25" customHeight="1">
      <c r="A3" s="4" t="s">
        <v>37</v>
      </c>
      <c r="B3" s="4" t="s">
        <v>39</v>
      </c>
      <c r="C3" s="4" t="str">
        <f t="shared" si="0"/>
        <v>USBLC6-4</v>
      </c>
      <c r="D3" s="4" t="str">
        <f t="shared" si="1"/>
        <v>Schematic\USBLC6-4.SchLib</v>
      </c>
      <c r="E3" s="4" t="str">
        <f t="shared" si="2"/>
        <v>USBLC6-4</v>
      </c>
      <c r="F3" s="4" t="str">
        <f t="shared" si="3"/>
        <v>Footprints\SOT23-6.PcbLib</v>
      </c>
      <c r="G3" s="4" t="s">
        <v>44</v>
      </c>
    </row>
    <row r="4" spans="1:7" ht="14.25" customHeight="1">
      <c r="A4" s="4" t="s">
        <v>47</v>
      </c>
      <c r="B4" s="4" t="s">
        <v>50</v>
      </c>
      <c r="C4" s="4" t="str">
        <f t="shared" si="0"/>
        <v>MAX485CSA</v>
      </c>
      <c r="D4" s="4" t="str">
        <f t="shared" si="1"/>
        <v>Schematic\MAX485CSA.SchLib</v>
      </c>
      <c r="E4" s="4" t="str">
        <f t="shared" si="2"/>
        <v>MAX485CSA</v>
      </c>
      <c r="F4" s="4" t="str">
        <f t="shared" si="3"/>
        <v>Footprints\SOIC-8.PcbLib</v>
      </c>
      <c r="G4" s="4" t="s">
        <v>58</v>
      </c>
    </row>
    <row r="5" spans="1:7" ht="14.25" customHeight="1">
      <c r="A5" s="6" t="s">
        <v>60</v>
      </c>
      <c r="B5" s="6" t="s">
        <v>20</v>
      </c>
      <c r="C5" s="4" t="str">
        <f t="shared" si="0"/>
        <v>STM32F103C8T6</v>
      </c>
      <c r="D5" s="6" t="str">
        <f t="shared" si="1"/>
        <v>Schematic\STM32F103C8T6.SchLib</v>
      </c>
      <c r="E5" s="6" t="str">
        <f t="shared" si="2"/>
        <v>STM32F103C8T6</v>
      </c>
      <c r="F5" s="6" t="str">
        <f t="shared" si="3"/>
        <v>Footprints\LQFP48.PcbLib</v>
      </c>
      <c r="G5" s="6" t="s">
        <v>66</v>
      </c>
    </row>
    <row r="6" spans="1:7" ht="14.25" customHeight="1">
      <c r="A6" s="6" t="s">
        <v>70</v>
      </c>
      <c r="B6" s="6" t="s">
        <v>71</v>
      </c>
      <c r="C6" s="4" t="str">
        <f t="shared" si="0"/>
        <v>LM2594HVM-ADJ</v>
      </c>
      <c r="D6" s="6" t="str">
        <f t="shared" si="1"/>
        <v>Schematic\LM2594HVM-ADJ.SchLib</v>
      </c>
      <c r="E6" s="6" t="str">
        <f t="shared" si="2"/>
        <v>LM2594HVM-ADJ</v>
      </c>
      <c r="F6" s="6" t="str">
        <f t="shared" si="3"/>
        <v>Footprints\SOIC-8.PcbLib</v>
      </c>
      <c r="G6" s="6" t="s">
        <v>58</v>
      </c>
    </row>
    <row r="7" spans="1:7" ht="14.25" customHeight="1">
      <c r="A7" s="6" t="s">
        <v>73</v>
      </c>
      <c r="B7" s="6" t="s">
        <v>75</v>
      </c>
      <c r="C7" s="4" t="str">
        <f t="shared" si="0"/>
        <v>LD1117S33CTR</v>
      </c>
      <c r="D7" s="6" t="str">
        <f t="shared" si="1"/>
        <v>Schematic\LD1117S33CTR.SchLib</v>
      </c>
      <c r="E7" s="6" t="str">
        <f t="shared" si="2"/>
        <v>LD1117S33CTR</v>
      </c>
      <c r="F7" s="6" t="str">
        <f t="shared" si="3"/>
        <v>Footprints\SOT223.PcbLib</v>
      </c>
      <c r="G7" s="6" t="s">
        <v>81</v>
      </c>
    </row>
    <row r="8" spans="1:13" ht="14.25" customHeight="1">
      <c r="A8" s="6" t="s">
        <v>82</v>
      </c>
      <c r="B8" s="6" t="s">
        <v>83</v>
      </c>
      <c r="C8" s="4" t="str">
        <f t="shared" si="0"/>
        <v>CD4050B</v>
      </c>
      <c r="D8" s="6" t="str">
        <f t="shared" si="1"/>
        <v>Schematic\CD4050B.SchLib</v>
      </c>
      <c r="E8" s="6" t="str">
        <f t="shared" si="2"/>
        <v>CD4050B</v>
      </c>
      <c r="F8" s="6" t="str">
        <f t="shared" si="3"/>
        <v>Footprints\SOIC-16.PcbLib</v>
      </c>
      <c r="G8" s="6" t="s">
        <v>86</v>
      </c>
      <c r="H8" s="6" t="s">
        <v>89</v>
      </c>
      <c r="I8" s="6" t="s">
        <v>91</v>
      </c>
      <c r="J8" s="6" t="s">
        <v>89</v>
      </c>
      <c r="K8" s="6" t="s">
        <v>94</v>
      </c>
      <c r="M8" s="6" t="s">
        <v>45</v>
      </c>
    </row>
    <row r="9" spans="1:7" ht="14.25" customHeight="1">
      <c r="A9" s="6" t="s">
        <v>95</v>
      </c>
      <c r="B9" s="6" t="s">
        <v>98</v>
      </c>
      <c r="C9" s="4" t="str">
        <f t="shared" si="0"/>
        <v>ADM2483BRWZ</v>
      </c>
      <c r="D9" s="6" t="str">
        <f t="shared" si="1"/>
        <v>Schematic\ADM2483BRWZ.SchLib</v>
      </c>
      <c r="E9" s="6" t="str">
        <f t="shared" si="2"/>
        <v>ADM2483BRWZ</v>
      </c>
      <c r="F9" s="6" t="str">
        <f t="shared" si="3"/>
        <v>Footprints\SOIC-16W.PcbLib</v>
      </c>
      <c r="G9" s="6" t="s">
        <v>101</v>
      </c>
    </row>
    <row r="10" spans="1:7" ht="14.25" customHeight="1">
      <c r="A10" s="6" t="s">
        <v>102</v>
      </c>
      <c r="B10" s="6" t="s">
        <v>75</v>
      </c>
      <c r="C10" s="4" t="str">
        <f t="shared" si="0"/>
        <v>LD1117S50CTR</v>
      </c>
      <c r="D10" s="6" t="str">
        <f t="shared" si="1"/>
        <v>Schematic\LD1117S50CTR.SchLib</v>
      </c>
      <c r="E10" s="6" t="str">
        <f t="shared" si="2"/>
        <v>LD1117S50CTR</v>
      </c>
      <c r="F10" s="6" t="str">
        <f t="shared" si="3"/>
        <v>Footprints\SOT223.PcbLib</v>
      </c>
      <c r="G10" s="6" t="s">
        <v>81</v>
      </c>
    </row>
    <row r="11" spans="1:13" ht="14.25" customHeight="1">
      <c r="A11" s="6" t="s">
        <v>104</v>
      </c>
      <c r="B11" s="6" t="s">
        <v>105</v>
      </c>
      <c r="C11" s="4" t="str">
        <f t="shared" si="0"/>
        <v>VND5025</v>
      </c>
      <c r="D11" s="6" t="str">
        <f t="shared" si="1"/>
        <v>Schematic\VND5025.SchLib</v>
      </c>
      <c r="E11" s="6" t="str">
        <f t="shared" si="2"/>
        <v>VND5025</v>
      </c>
      <c r="F11" s="6" t="str">
        <f t="shared" si="3"/>
        <v>Footprints\POWERSSO24.PcbLib</v>
      </c>
      <c r="G11" s="6" t="s">
        <v>109</v>
      </c>
      <c r="M11" s="6" t="s">
        <v>45</v>
      </c>
    </row>
    <row r="12" spans="1:13" ht="14.25" customHeight="1">
      <c r="A12" s="6" t="s">
        <v>110</v>
      </c>
      <c r="B12" s="6" t="s">
        <v>111</v>
      </c>
      <c r="C12" s="4" t="str">
        <f t="shared" si="0"/>
        <v>SN74LVC1G17DCKR</v>
      </c>
      <c r="D12" s="6" t="str">
        <f t="shared" si="1"/>
        <v>Schematic\SN74LVC1G17DCKR.SchLib</v>
      </c>
      <c r="E12" s="6" t="str">
        <f t="shared" si="2"/>
        <v>SN74LVC1G17DCKR</v>
      </c>
      <c r="F12" s="6" t="str">
        <f t="shared" si="3"/>
        <v>Footprints\SC-70-5.PcbLib</v>
      </c>
      <c r="G12" s="6" t="s">
        <v>113</v>
      </c>
      <c r="M12" s="6" t="s">
        <v>45</v>
      </c>
    </row>
    <row r="13" spans="1:13" ht="14.25" customHeight="1">
      <c r="A13" s="6" t="s">
        <v>114</v>
      </c>
      <c r="B13" s="6" t="s">
        <v>115</v>
      </c>
      <c r="C13" s="4" t="str">
        <f t="shared" si="0"/>
        <v>74LVC1G74DP,125</v>
      </c>
      <c r="D13" s="6" t="str">
        <f t="shared" si="1"/>
        <v>Schematic\74LVC1G74DP,125.SchLib</v>
      </c>
      <c r="E13" s="6" t="str">
        <f t="shared" si="2"/>
        <v>74LVC1G74DP,125</v>
      </c>
      <c r="F13" s="6" t="str">
        <f t="shared" si="3"/>
        <v>Footprints\TSSOP-8.PcbLib</v>
      </c>
      <c r="G13" s="6" t="s">
        <v>118</v>
      </c>
      <c r="M13" s="6" t="s">
        <v>45</v>
      </c>
    </row>
    <row r="14" spans="1:13" ht="14.25" customHeight="1">
      <c r="A14" s="6" t="s">
        <v>120</v>
      </c>
      <c r="B14" s="6" t="s">
        <v>121</v>
      </c>
      <c r="C14" s="4" t="s">
        <v>120</v>
      </c>
      <c r="D14" s="6" t="str">
        <f t="shared" si="1"/>
        <v>Schematic\RT8279GSP.SchLib</v>
      </c>
      <c r="E14" s="6" t="str">
        <f t="shared" si="2"/>
        <v>RT8279GSP</v>
      </c>
      <c r="F14" s="6" t="str">
        <f t="shared" si="3"/>
        <v>Footprints\8SOP(Exposed_Pad).PcbLib</v>
      </c>
      <c r="G14" s="6" t="s">
        <v>123</v>
      </c>
      <c r="M14" s="6" t="s">
        <v>45</v>
      </c>
    </row>
    <row r="15" spans="1:13" ht="14.25" customHeight="1">
      <c r="A15" s="6" t="s">
        <v>126</v>
      </c>
      <c r="B15" s="6" t="s">
        <v>129</v>
      </c>
      <c r="C15" s="4" t="str">
        <f t="shared" si="4" ref="C15:C20">A15</f>
        <v>TP4056</v>
      </c>
      <c r="D15" s="6" t="str">
        <f t="shared" si="1"/>
        <v>Schematic\TP4056.SchLib</v>
      </c>
      <c r="E15" s="6" t="str">
        <f t="shared" si="2"/>
        <v>TP4056</v>
      </c>
      <c r="F15" s="6" t="str">
        <f t="shared" si="3"/>
        <v>Footprints\8SOP(Exposed_Pad).PcbLib</v>
      </c>
      <c r="G15" s="6" t="s">
        <v>123</v>
      </c>
      <c r="M15" s="6" t="s">
        <v>45</v>
      </c>
    </row>
    <row r="16" spans="1:13" ht="14.25" customHeight="1">
      <c r="A16" s="6" t="s">
        <v>133</v>
      </c>
      <c r="B16" s="6" t="s">
        <v>135</v>
      </c>
      <c r="C16" s="4" t="str">
        <f t="shared" si="4"/>
        <v>LM2623AMMX</v>
      </c>
      <c r="D16" s="6" t="str">
        <f t="shared" si="1"/>
        <v>Schematic\LM2623AMMX.SchLib</v>
      </c>
      <c r="E16" s="6" t="str">
        <f t="shared" si="2"/>
        <v>LM2623AMMX</v>
      </c>
      <c r="F16" s="6" t="str">
        <f t="shared" si="3"/>
        <v>Footprints\VSSOP-8.PcbLib</v>
      </c>
      <c r="G16" s="6" t="s">
        <v>136</v>
      </c>
      <c r="M16" s="6" t="s">
        <v>45</v>
      </c>
    </row>
    <row r="17" spans="1:13" ht="14.25" customHeight="1">
      <c r="A17" s="6" t="s">
        <v>138</v>
      </c>
      <c r="B17" s="6" t="s">
        <v>139</v>
      </c>
      <c r="C17" s="4" t="str">
        <f t="shared" si="4"/>
        <v>DW01</v>
      </c>
      <c r="D17" s="6" t="str">
        <f t="shared" si="1"/>
        <v>Schematic\DW01.SchLib</v>
      </c>
      <c r="E17" s="6" t="str">
        <f t="shared" si="2"/>
        <v>DW01</v>
      </c>
      <c r="F17" s="6" t="str">
        <f t="shared" si="3"/>
        <v>Footprints\SOT23-6.PcbLib</v>
      </c>
      <c r="G17" s="6" t="s">
        <v>44</v>
      </c>
      <c r="M17" s="6" t="s">
        <v>45</v>
      </c>
    </row>
    <row r="18" spans="1:13" ht="14.25" customHeight="1">
      <c r="A18" s="6" t="s">
        <v>141</v>
      </c>
      <c r="B18" s="6" t="s">
        <v>142</v>
      </c>
      <c r="C18" s="4" t="str">
        <f t="shared" si="4"/>
        <v>arduino_nano</v>
      </c>
      <c r="D18" s="6" t="str">
        <f t="shared" si="1"/>
        <v>Schematic\arduino_nano.SchLib</v>
      </c>
      <c r="E18" s="6" t="str">
        <f t="shared" si="2"/>
        <v>arduino_nano</v>
      </c>
      <c r="F18" s="6" t="str">
        <f t="shared" si="3"/>
        <v>Footprints\arduino_nano.PcbLib</v>
      </c>
      <c r="G18" s="6" t="s">
        <v>141</v>
      </c>
      <c r="M18" s="6" t="s">
        <v>45</v>
      </c>
    </row>
    <row r="19" spans="1:13" ht="14.25" customHeight="1">
      <c r="A19" s="6" t="s">
        <v>144</v>
      </c>
      <c r="B19" s="6" t="s">
        <v>145</v>
      </c>
      <c r="C19" s="4" t="str">
        <f t="shared" si="4"/>
        <v>TPS61088</v>
      </c>
      <c r="D19" s="6" t="str">
        <f t="shared" si="1"/>
        <v>Schematic\TPS61088.SchLib</v>
      </c>
      <c r="E19" s="6" t="str">
        <f t="shared" si="2"/>
        <v>TPS61088</v>
      </c>
      <c r="F19" s="6" t="str">
        <f t="shared" si="3"/>
        <v>Footprints\VQFN-RHL.PcbLib</v>
      </c>
      <c r="G19" s="6" t="s">
        <v>148</v>
      </c>
      <c r="M19" s="6" t="s">
        <v>45</v>
      </c>
    </row>
    <row r="20" spans="1:13" ht="14.25" customHeight="1">
      <c r="A20" s="12" t="s">
        <v>149</v>
      </c>
      <c r="B20" s="6" t="s">
        <v>150</v>
      </c>
      <c r="C20" s="4" t="str">
        <f t="shared" si="4"/>
        <v>RT8509A</v>
      </c>
      <c r="D20" s="6" t="str">
        <f t="shared" si="1"/>
        <v>Schematic\RT8509A.SchLib</v>
      </c>
      <c r="E20" s="6" t="str">
        <f t="shared" si="2"/>
        <v>RT8509A</v>
      </c>
      <c r="F20" s="6" t="str">
        <f t="shared" si="3"/>
        <v>Footprints\WDFN5x5-12.PcbLib</v>
      </c>
      <c r="G20" s="6" t="s">
        <v>153</v>
      </c>
      <c r="M20" s="6" t="s">
        <v>45</v>
      </c>
    </row>
    <row r="21" spans="1:13" ht="14.25" customHeight="1">
      <c r="A21" s="6" t="s">
        <v>154</v>
      </c>
      <c r="B21" s="6" t="s">
        <v>155</v>
      </c>
      <c r="C21" s="4" t="s">
        <v>154</v>
      </c>
      <c r="D21" s="6" t="str">
        <f t="shared" si="1"/>
        <v>Schematic\VN7140AS.SchLib</v>
      </c>
      <c r="E21" s="6" t="str">
        <f t="shared" si="2"/>
        <v>VN7140AS</v>
      </c>
      <c r="F21" s="6" t="str">
        <f t="shared" si="3"/>
        <v>Footprints\SOP8.PcbLib</v>
      </c>
      <c r="G21" s="6" t="s">
        <v>156</v>
      </c>
      <c r="M21" s="6" t="s">
        <v>45</v>
      </c>
    </row>
    <row r="22" spans="1:13" ht="14.25" customHeight="1">
      <c r="A22" s="6" t="s">
        <v>157</v>
      </c>
      <c r="B22" s="6" t="s">
        <v>158</v>
      </c>
      <c r="C22" s="4" t="str">
        <f t="shared" si="5" ref="C22:C25">A22</f>
        <v>74HC4051PW,118</v>
      </c>
      <c r="D22" s="6" t="str">
        <f t="shared" si="1"/>
        <v>Schematic\74HC4051PW,118.SchLib</v>
      </c>
      <c r="E22" s="6" t="str">
        <f t="shared" si="2"/>
        <v>74HC4051PW,118</v>
      </c>
      <c r="F22" s="6" t="str">
        <f t="shared" si="3"/>
        <v>Footprints\TSSOP-16.PcbLib</v>
      </c>
      <c r="G22" s="6" t="s">
        <v>161</v>
      </c>
      <c r="M22" s="6" t="s">
        <v>45</v>
      </c>
    </row>
    <row r="23" spans="1:13" ht="14.25" customHeight="1">
      <c r="A23" s="6" t="s">
        <v>162</v>
      </c>
      <c r="B23" s="6" t="s">
        <v>163</v>
      </c>
      <c r="C23" s="4" t="str">
        <f t="shared" si="5"/>
        <v>sim800l</v>
      </c>
      <c r="D23" s="6" t="str">
        <f t="shared" si="1"/>
        <v>Schematic\sim800l.SchLib</v>
      </c>
      <c r="E23" s="6" t="str">
        <f t="shared" si="2"/>
        <v>sim800l</v>
      </c>
      <c r="F23" s="6" t="str">
        <f t="shared" si="3"/>
        <v>Footprints\sim800l.PcbLib</v>
      </c>
      <c r="G23" s="6" t="s">
        <v>162</v>
      </c>
      <c r="M23" s="6" t="s">
        <v>45</v>
      </c>
    </row>
    <row r="24" spans="1:13" ht="14.25" customHeight="1">
      <c r="A24" s="6" t="s">
        <v>164</v>
      </c>
      <c r="B24" s="6" t="s">
        <v>165</v>
      </c>
      <c r="C24" s="4" t="str">
        <f t="shared" si="5"/>
        <v>74HC139D,653</v>
      </c>
      <c r="D24" s="6" t="str">
        <f t="shared" si="1"/>
        <v>Schematic\74HC139D,653.SchLib</v>
      </c>
      <c r="E24" s="6" t="str">
        <f t="shared" si="2"/>
        <v>74HC139D,653</v>
      </c>
      <c r="F24" s="6" t="str">
        <f t="shared" si="3"/>
        <v>Footprints\SOIC-16.PcbLib</v>
      </c>
      <c r="G24" s="6" t="s">
        <v>86</v>
      </c>
      <c r="M24" s="6" t="s">
        <v>45</v>
      </c>
    </row>
    <row r="25" spans="1:13" ht="14.25" customHeight="1">
      <c r="A25" s="6" t="s">
        <v>166</v>
      </c>
      <c r="B25" s="6" t="s">
        <v>167</v>
      </c>
      <c r="C25" s="4" t="str">
        <f t="shared" si="5"/>
        <v>CD4555BM</v>
      </c>
      <c r="D25" s="6" t="str">
        <f t="shared" si="1"/>
        <v>Schematic\CD4555BM.SchLib</v>
      </c>
      <c r="E25" s="6" t="str">
        <f t="shared" si="2"/>
        <v>CD4555BM</v>
      </c>
      <c r="F25" s="6" t="str">
        <f t="shared" si="3"/>
        <v>Footprints\SOIC-16.PcbLib</v>
      </c>
      <c r="G25" s="6" t="s">
        <v>86</v>
      </c>
      <c r="M25" s="6" t="s">
        <v>45</v>
      </c>
    </row>
    <row r="26" spans="1:13" ht="14.25" customHeight="1">
      <c r="A26" s="6" t="s">
        <v>169</v>
      </c>
      <c r="B26" s="6" t="s">
        <v>170</v>
      </c>
      <c r="C26" s="4" t="s">
        <v>169</v>
      </c>
      <c r="D26" s="6" t="s">
        <v>172</v>
      </c>
      <c r="E26" s="6" t="s">
        <v>169</v>
      </c>
      <c r="F26" s="6" t="s">
        <v>173</v>
      </c>
      <c r="G26" s="6" t="s">
        <v>86</v>
      </c>
      <c r="M26" s="6" t="s">
        <v>45</v>
      </c>
    </row>
    <row r="27" spans="1:13" ht="14.25" customHeight="1">
      <c r="A27" s="6" t="s">
        <v>175</v>
      </c>
      <c r="B27" s="6" t="s">
        <v>176</v>
      </c>
      <c r="C27" s="4" t="str">
        <f t="shared" si="6" ref="C27:C38">A27</f>
        <v>MT3608</v>
      </c>
      <c r="D27" s="6" t="str">
        <f t="shared" si="7" ref="D27:D35">CONCATENATE("Schematic\",A27,".SchLib")</f>
        <v>Schematic\MT3608.SchLib</v>
      </c>
      <c r="E27" s="6" t="str">
        <f t="shared" si="8" ref="E27:E35">A27</f>
        <v>MT3608</v>
      </c>
      <c r="F27" s="6" t="str">
        <f>CONCATENATE("Footprints\",G27,".PcbLib")</f>
        <v>Footprints\SOT23-6.PcbLib</v>
      </c>
      <c r="G27" s="6" t="s">
        <v>44</v>
      </c>
      <c r="M27" s="6" t="s">
        <v>45</v>
      </c>
    </row>
    <row r="28" spans="1:13" ht="14.25" customHeight="1">
      <c r="A28" s="6" t="s">
        <v>180</v>
      </c>
      <c r="B28" s="6" t="s">
        <v>181</v>
      </c>
      <c r="C28" s="4" t="str">
        <f t="shared" si="6"/>
        <v>CD4013BE</v>
      </c>
      <c r="D28" s="6" t="str">
        <f t="shared" si="7"/>
        <v>Schematic\CD4013BE.SchLib</v>
      </c>
      <c r="E28" s="6" t="str">
        <f t="shared" si="8"/>
        <v>CD4013BE</v>
      </c>
      <c r="F28" s="6" t="s">
        <v>185</v>
      </c>
      <c r="G28" s="6" t="s">
        <v>187</v>
      </c>
      <c r="H28" s="6" t="s">
        <v>185</v>
      </c>
      <c r="I28" s="6" t="s">
        <v>188</v>
      </c>
      <c r="M28" s="6" t="s">
        <v>45</v>
      </c>
    </row>
    <row r="29" spans="1:7" ht="14.25" customHeight="1">
      <c r="A29" s="6" t="s">
        <v>189</v>
      </c>
      <c r="B29" s="6" t="s">
        <v>190</v>
      </c>
      <c r="C29" s="4" t="str">
        <f t="shared" si="6"/>
        <v>STM32F103C8T6_board</v>
      </c>
      <c r="D29" s="6" t="str">
        <f t="shared" si="7"/>
        <v>Schematic\STM32F103C8T6_board.SchLib</v>
      </c>
      <c r="E29" s="6" t="str">
        <f t="shared" si="8"/>
        <v>STM32F103C8T6_board</v>
      </c>
      <c r="F29" s="6" t="str">
        <f t="shared" si="9" ref="F29:F39">CONCATENATE("Footprints\",G29,".PcbLib")</f>
        <v>Footprints\STM32F103C8T6_board.PcbLib</v>
      </c>
      <c r="G29" s="6" t="s">
        <v>189</v>
      </c>
    </row>
    <row r="30" spans="1:7" ht="14.25" customHeight="1">
      <c r="A30" s="6" t="s">
        <v>193</v>
      </c>
      <c r="B30" s="6" t="s">
        <v>195</v>
      </c>
      <c r="C30" s="4" t="str">
        <f t="shared" si="6"/>
        <v>RPI</v>
      </c>
      <c r="D30" s="6" t="str">
        <f t="shared" si="7"/>
        <v>Schematic\RPI.SchLib</v>
      </c>
      <c r="E30" s="6" t="str">
        <f t="shared" si="8"/>
        <v>RPI</v>
      </c>
      <c r="F30" s="6" t="str">
        <f t="shared" si="9"/>
        <v>Footprints\RPI.PcbLib</v>
      </c>
      <c r="G30" s="6" t="s">
        <v>193</v>
      </c>
    </row>
    <row r="31" spans="1:7" ht="14.25" customHeight="1">
      <c r="A31" s="6" t="s">
        <v>197</v>
      </c>
      <c r="B31" s="6" t="s">
        <v>198</v>
      </c>
      <c r="C31" s="4" t="str">
        <f t="shared" si="6"/>
        <v>LTC4418</v>
      </c>
      <c r="D31" s="6" t="str">
        <f t="shared" si="7"/>
        <v>Schematic\LTC4418.SchLib</v>
      </c>
      <c r="E31" s="6" t="str">
        <f t="shared" si="8"/>
        <v>LTC4418</v>
      </c>
      <c r="F31" s="6" t="str">
        <f t="shared" si="9"/>
        <v>Footprints\QFN50.PcbLib</v>
      </c>
      <c r="G31" s="6" t="s">
        <v>201</v>
      </c>
    </row>
    <row r="32" spans="1:13" ht="14.25" customHeight="1">
      <c r="A32" s="6" t="s">
        <v>203</v>
      </c>
      <c r="B32" s="6" t="s">
        <v>205</v>
      </c>
      <c r="C32" s="4" t="str">
        <f t="shared" si="6"/>
        <v>NE555</v>
      </c>
      <c r="D32" s="6" t="str">
        <f t="shared" si="7"/>
        <v>Schematic\NE555.SchLib</v>
      </c>
      <c r="E32" s="6" t="str">
        <f t="shared" si="8"/>
        <v>NE555</v>
      </c>
      <c r="F32" s="6" t="str">
        <f t="shared" si="9"/>
        <v>Footprints\SOIC-8.PcbLib</v>
      </c>
      <c r="G32" s="6" t="s">
        <v>58</v>
      </c>
      <c r="M32" s="6" t="s">
        <v>45</v>
      </c>
    </row>
    <row r="33" spans="1:13" ht="14.25" customHeight="1">
      <c r="A33" s="6" t="s">
        <v>207</v>
      </c>
      <c r="B33" s="6" t="s">
        <v>208</v>
      </c>
      <c r="C33" s="4" t="str">
        <f t="shared" si="6"/>
        <v>LM393</v>
      </c>
      <c r="D33" s="6" t="str">
        <f t="shared" si="7"/>
        <v>Schematic\LM393.SchLib</v>
      </c>
      <c r="E33" s="6" t="str">
        <f t="shared" si="8"/>
        <v>LM393</v>
      </c>
      <c r="F33" s="6" t="str">
        <f t="shared" si="9"/>
        <v>Footprints\SOIC-8.PcbLib</v>
      </c>
      <c r="G33" s="6" t="s">
        <v>58</v>
      </c>
      <c r="M33" s="6" t="s">
        <v>45</v>
      </c>
    </row>
    <row r="34" spans="1:13" ht="14.25" customHeight="1">
      <c r="A34" s="6" t="s">
        <v>210</v>
      </c>
      <c r="B34" s="6" t="s">
        <v>211</v>
      </c>
      <c r="C34" s="4" t="str">
        <f t="shared" si="6"/>
        <v>LD7575</v>
      </c>
      <c r="D34" s="6" t="str">
        <f t="shared" si="7"/>
        <v>Schematic\LD7575.SchLib</v>
      </c>
      <c r="E34" s="6" t="str">
        <f t="shared" si="8"/>
        <v>LD7575</v>
      </c>
      <c r="F34" s="6" t="str">
        <f t="shared" si="9"/>
        <v>Footprints\SOP8.PcbLib</v>
      </c>
      <c r="G34" s="6" t="s">
        <v>156</v>
      </c>
      <c r="M34" s="6" t="s">
        <v>45</v>
      </c>
    </row>
    <row r="35" spans="1:13" ht="14.25" customHeight="1">
      <c r="A35" s="6" t="s">
        <v>212</v>
      </c>
      <c r="B35" s="6" t="s">
        <v>213</v>
      </c>
      <c r="C35" s="4" t="str">
        <f t="shared" si="6"/>
        <v>MAX668</v>
      </c>
      <c r="D35" s="6" t="str">
        <f t="shared" si="7"/>
        <v>Schematic\MAX668.SchLib</v>
      </c>
      <c r="E35" s="6" t="str">
        <f t="shared" si="8"/>
        <v>MAX668</v>
      </c>
      <c r="F35" s="6" t="str">
        <f t="shared" si="9"/>
        <v>Footprints\uSOP10.PcbLib</v>
      </c>
      <c r="G35" s="6" t="s">
        <v>215</v>
      </c>
      <c r="M35" s="6" t="s">
        <v>45</v>
      </c>
    </row>
    <row r="36" spans="1:13" ht="14.25" customHeight="1">
      <c r="A36" s="6" t="s">
        <v>216</v>
      </c>
      <c r="B36" s="6" t="s">
        <v>217</v>
      </c>
      <c r="C36" s="4" t="str">
        <f t="shared" si="6"/>
        <v>LTV354T</v>
      </c>
      <c r="D36" s="6" t="str">
        <f>CONCATENATE("Schematic\",E36,".SchLib")</f>
        <v>Schematic\LTV354.SchLib</v>
      </c>
      <c r="E36" s="6" t="s">
        <v>220</v>
      </c>
      <c r="F36" s="6" t="str">
        <f t="shared" si="9"/>
        <v>Footprints\SOP4-2_54.PcbLib</v>
      </c>
      <c r="G36" s="6" t="s">
        <v>221</v>
      </c>
      <c r="M36" s="6" t="s">
        <v>45</v>
      </c>
    </row>
    <row r="37" spans="1:7" ht="14.25" customHeight="1">
      <c r="A37" s="6" t="s">
        <v>222</v>
      </c>
      <c r="B37" s="6" t="s">
        <v>224</v>
      </c>
      <c r="C37" s="4" t="str">
        <f t="shared" si="6"/>
        <v>SN74LVC1G14DCKR</v>
      </c>
      <c r="D37" s="6" t="str">
        <f>CONCATENATE("Schematic\",A37,".SchLib")</f>
        <v>Schematic\SN74LVC1G14DCKR.SchLib</v>
      </c>
      <c r="E37" s="6" t="str">
        <f>A37</f>
        <v>SN74LVC1G14DCKR</v>
      </c>
      <c r="F37" s="6" t="str">
        <f t="shared" si="9"/>
        <v>Footprints\SC-70-5.PcbLib</v>
      </c>
      <c r="G37" s="6" t="s">
        <v>113</v>
      </c>
    </row>
    <row r="38" spans="1:7" ht="14.25" customHeight="1">
      <c r="A38" s="6" t="s">
        <v>228</v>
      </c>
      <c r="B38" s="6" t="s">
        <v>229</v>
      </c>
      <c r="C38" s="4" t="str">
        <f t="shared" si="6"/>
        <v>USB2514BM2</v>
      </c>
      <c r="D38" s="6" t="s">
        <v>232</v>
      </c>
      <c r="E38" s="4" t="s">
        <v>228</v>
      </c>
      <c r="F38" s="6" t="str">
        <f t="shared" si="9"/>
        <v>Footprints\VFQFN-36.PcbLib</v>
      </c>
      <c r="G38" s="6" t="s">
        <v>235</v>
      </c>
    </row>
    <row r="39" spans="1:7" ht="14.25" customHeight="1">
      <c r="A39" s="6" t="s">
        <v>236</v>
      </c>
      <c r="B39" s="6" t="s">
        <v>237</v>
      </c>
      <c r="C39" s="4" t="s">
        <v>236</v>
      </c>
      <c r="D39" s="6" t="str">
        <f t="shared" si="10" ref="D39:D40">CONCATENATE("Schematic\",A39,".SchLib")</f>
        <v>Schematic\RTL8367N-VB-CG.SchLib</v>
      </c>
      <c r="E39" s="6" t="str">
        <f t="shared" si="11" ref="E39:E41">A39</f>
        <v>RTL8367N-VB-CG</v>
      </c>
      <c r="F39" s="6" t="str">
        <f t="shared" si="9"/>
        <v>Footprints\QFN40.PcbLib</v>
      </c>
      <c r="G39" s="6" t="s">
        <v>242</v>
      </c>
    </row>
    <row r="40" spans="1:7" ht="14.25" customHeight="1">
      <c r="A40" s="6" t="s">
        <v>243</v>
      </c>
      <c r="B40" s="6" t="s">
        <v>245</v>
      </c>
      <c r="C40" s="4" t="str">
        <f t="shared" si="12" ref="C40:C70">A40</f>
        <v>CM4</v>
      </c>
      <c r="D40" s="6" t="str">
        <f t="shared" si="10"/>
        <v>Schematic\CM4.SchLib</v>
      </c>
      <c r="E40" s="6" t="str">
        <f t="shared" si="11"/>
        <v>CM4</v>
      </c>
      <c r="F40" s="6" t="str">
        <f t="shared" si="13" ref="F40:F41">CONCATENATE("Footprints\CM4.PcbLib")</f>
        <v>Footprints\CM4.PcbLib</v>
      </c>
      <c r="G40" s="6" t="s">
        <v>251</v>
      </c>
    </row>
    <row r="41" spans="1:12" ht="14.25" customHeight="1">
      <c r="A41" s="6" t="s">
        <v>254</v>
      </c>
      <c r="B41" s="6" t="s">
        <v>255</v>
      </c>
      <c r="C41" s="4" t="str">
        <f t="shared" si="12"/>
        <v>CM5</v>
      </c>
      <c r="D41" s="6" t="str">
        <f>CONCATENATE("Schematic\CM4.SchLib")</f>
        <v>Schematic\CM4.SchLib</v>
      </c>
      <c r="E41" s="6" t="str">
        <f t="shared" si="11"/>
        <v>CM5</v>
      </c>
      <c r="F41" s="6" t="str">
        <f t="shared" si="13"/>
        <v>Footprints\CM4.PcbLib</v>
      </c>
      <c r="G41" s="6" t="s">
        <v>259</v>
      </c>
      <c r="L41" s="6" t="s">
        <v>261</v>
      </c>
    </row>
    <row r="42" spans="1:7" ht="14.25" customHeight="1">
      <c r="A42" s="6" t="s">
        <v>264</v>
      </c>
      <c r="B42" s="6" t="s">
        <v>265</v>
      </c>
      <c r="C42" s="4" t="str">
        <f t="shared" si="12"/>
        <v>ADP2301AUJZ-R7</v>
      </c>
      <c r="D42" s="6" t="str">
        <f>CONCATENATE("Schematic\",E42,".SchLib")</f>
        <v>Schematic\ADP2300.SchLib</v>
      </c>
      <c r="E42" s="6" t="s">
        <v>269</v>
      </c>
      <c r="F42" s="6" t="str">
        <f>CONCATENATE("Footprints\",G27,".PcbLib")</f>
        <v>Footprints\SOT23-6.PcbLib</v>
      </c>
      <c r="G42" s="6" t="s">
        <v>44</v>
      </c>
    </row>
    <row r="43" spans="1:7" ht="14.25" customHeight="1">
      <c r="A43" s="6" t="s">
        <v>274</v>
      </c>
      <c r="B43" s="6" t="s">
        <v>276</v>
      </c>
      <c r="C43" s="4" t="str">
        <f t="shared" si="12"/>
        <v>LM5116MH</v>
      </c>
      <c r="D43" s="6" t="str">
        <f t="shared" si="14" ref="D43:D44">CONCATENATE("Schematic\",A43,".SchLib")</f>
        <v>Schematic\LM5116MH.SchLib</v>
      </c>
      <c r="E43" s="6" t="str">
        <f t="shared" si="15" ref="E43:E44">A43</f>
        <v>LM5116MH</v>
      </c>
      <c r="F43" s="6" t="str">
        <f t="shared" si="16" ref="F43:F52">CONCATENATE("Footprints\",G43,".PcbLib")</f>
        <v>Footprints\HTSSOP-20.PcbLib</v>
      </c>
      <c r="G43" s="6" t="s">
        <v>281</v>
      </c>
    </row>
    <row r="44" spans="1:7" ht="14.25" customHeight="1">
      <c r="A44" s="18" t="s">
        <v>283</v>
      </c>
      <c r="B44" s="20" t="s">
        <v>288</v>
      </c>
      <c r="C44" s="21" t="str">
        <f t="shared" si="12"/>
        <v>IXDN602</v>
      </c>
      <c r="D44" s="20" t="str">
        <f t="shared" si="14"/>
        <v>Schematic\IXDN602.SchLib</v>
      </c>
      <c r="E44" s="20" t="str">
        <f t="shared" si="15"/>
        <v>IXDN602</v>
      </c>
      <c r="F44" s="20" t="str">
        <f t="shared" si="16"/>
        <v>Footprints\SOIC-8.PcbLib</v>
      </c>
      <c r="G44" s="20" t="s">
        <v>58</v>
      </c>
    </row>
    <row r="45" spans="1:8" ht="14.25" customHeight="1">
      <c r="A45" s="6" t="s">
        <v>295</v>
      </c>
      <c r="B45" s="6" t="s">
        <v>296</v>
      </c>
      <c r="C45" s="4" t="str">
        <f t="shared" si="12"/>
        <v>LMC555</v>
      </c>
      <c r="D45" s="6" t="str">
        <f>CONCATENATE("Schematic\",A33,".SchLib")</f>
        <v>Schematic\LM393.SchLib</v>
      </c>
      <c r="E45" s="6" t="str">
        <f>A33</f>
        <v>LM393</v>
      </c>
      <c r="F45" s="6" t="str">
        <f t="shared" si="16"/>
        <v>Footprints\SOIC-8.PcbLib</v>
      </c>
      <c r="G45" s="6" t="s">
        <v>58</v>
      </c>
      <c r="H45" s="4"/>
    </row>
    <row r="46" spans="1:7" ht="14.25" customHeight="1">
      <c r="A46" s="24" t="s">
        <v>303</v>
      </c>
      <c r="B46" s="25" t="s">
        <v>305</v>
      </c>
      <c r="C46" s="26" t="str">
        <f t="shared" si="12"/>
        <v>MC3306A</v>
      </c>
      <c r="D46" s="25" t="str">
        <f>CONCATENATE("Schematic\",A46,".SchLib")</f>
        <v>Schematic\MC3306A.SchLib</v>
      </c>
      <c r="E46" s="25" t="str">
        <f>A46</f>
        <v>MC3306A</v>
      </c>
      <c r="F46" s="25" t="str">
        <f t="shared" si="16"/>
        <v>Footprints\SOIC-8.PcbLib</v>
      </c>
      <c r="G46" s="25" t="s">
        <v>58</v>
      </c>
    </row>
    <row r="47" spans="1:13" ht="14.25" customHeight="1">
      <c r="A47" s="6" t="s">
        <v>312</v>
      </c>
      <c r="B47" s="6" t="s">
        <v>314</v>
      </c>
      <c r="C47" s="4" t="str">
        <f t="shared" si="12"/>
        <v>RTL8367RB-VB</v>
      </c>
      <c r="D47" s="6" t="str">
        <f>CONCATENATE("Schematic\",E47,".SchLib")</f>
        <v>Schematic\RTL8367RB-VB_gost.SchLib</v>
      </c>
      <c r="E47" s="6" t="s">
        <v>319</v>
      </c>
      <c r="F47" s="6" t="str">
        <f t="shared" si="16"/>
        <v>Footprints\LQFP128_14x14_exposed_pad.PcbLib</v>
      </c>
      <c r="G47" s="6" t="s">
        <v>320</v>
      </c>
      <c r="L47" s="6" t="s">
        <v>322</v>
      </c>
      <c r="M47" s="6" t="s">
        <v>45</v>
      </c>
    </row>
    <row r="48" spans="1:13" ht="14.25" customHeight="1">
      <c r="A48" s="24" t="s">
        <v>323</v>
      </c>
      <c r="B48" s="25" t="s">
        <v>324</v>
      </c>
      <c r="C48" s="26" t="str">
        <f t="shared" si="12"/>
        <v>TS951ILT</v>
      </c>
      <c r="D48" s="25" t="str">
        <f t="shared" si="17" ref="D48:D60">CONCATENATE("Schematic\",A48,".SchLib")</f>
        <v>Schematic\TS951ILT.SchLib</v>
      </c>
      <c r="E48" s="25" t="str">
        <f t="shared" si="18" ref="E48:E60">A48</f>
        <v>TS951ILT</v>
      </c>
      <c r="F48" s="25" t="str">
        <f t="shared" si="16"/>
        <v>Footprints\SOT23-5.PcbLib</v>
      </c>
      <c r="G48" s="25" t="s">
        <v>327</v>
      </c>
      <c r="M48" s="6" t="s">
        <v>64</v>
      </c>
    </row>
    <row r="49" spans="1:7" ht="14.25" customHeight="1">
      <c r="A49" s="6" t="s">
        <v>330</v>
      </c>
      <c r="B49" s="6" t="s">
        <v>331</v>
      </c>
      <c r="C49" s="4" t="str">
        <f t="shared" si="12"/>
        <v>AP63200</v>
      </c>
      <c r="D49" s="6" t="str">
        <f t="shared" si="17"/>
        <v>Schematic\AP63200.SchLib</v>
      </c>
      <c r="E49" s="6" t="str">
        <f t="shared" si="18"/>
        <v>AP63200</v>
      </c>
      <c r="F49" s="6" t="str">
        <f t="shared" si="16"/>
        <v>Footprints\TSOT26.PcbLib</v>
      </c>
      <c r="G49" s="6" t="s">
        <v>333</v>
      </c>
    </row>
    <row r="50" spans="1:13" ht="14.25" customHeight="1">
      <c r="A50" s="6" t="s">
        <v>335</v>
      </c>
      <c r="B50" s="6" t="s">
        <v>181</v>
      </c>
      <c r="C50" s="4" t="str">
        <f t="shared" si="12"/>
        <v>74HC74D,653</v>
      </c>
      <c r="D50" s="6" t="str">
        <f t="shared" si="17"/>
        <v>Schematic\74HC74D,653.SchLib</v>
      </c>
      <c r="E50" s="6" t="str">
        <f t="shared" si="18"/>
        <v>74HC74D,653</v>
      </c>
      <c r="F50" s="6" t="str">
        <f t="shared" si="16"/>
        <v>Footprints\SOIC-14.PcbLib</v>
      </c>
      <c r="G50" s="6" t="s">
        <v>338</v>
      </c>
      <c r="M50" s="6" t="s">
        <v>64</v>
      </c>
    </row>
    <row r="51" spans="1:7" ht="14.25" customHeight="1">
      <c r="A51" s="6" t="s">
        <v>340</v>
      </c>
      <c r="B51" s="6" t="s">
        <v>341</v>
      </c>
      <c r="C51" s="4" t="str">
        <f t="shared" si="12"/>
        <v>AP63203</v>
      </c>
      <c r="D51" s="6" t="str">
        <f t="shared" si="17"/>
        <v>Schematic\AP63203.SchLib</v>
      </c>
      <c r="E51" s="6" t="str">
        <f t="shared" si="18"/>
        <v>AP63203</v>
      </c>
      <c r="F51" s="6" t="str">
        <f t="shared" si="16"/>
        <v>Footprints\TSOT26.PcbLib</v>
      </c>
      <c r="G51" s="6" t="s">
        <v>333</v>
      </c>
    </row>
    <row r="52" spans="1:13" ht="14.25" customHeight="1">
      <c r="A52" s="24" t="s">
        <v>342</v>
      </c>
      <c r="B52" s="25" t="s">
        <v>343</v>
      </c>
      <c r="C52" s="26" t="str">
        <f t="shared" si="12"/>
        <v>IRS21867</v>
      </c>
      <c r="D52" s="25" t="str">
        <f t="shared" si="17"/>
        <v>Schematic\IRS21867.SchLib</v>
      </c>
      <c r="E52" s="25" t="str">
        <f t="shared" si="18"/>
        <v>IRS21867</v>
      </c>
      <c r="F52" s="25" t="str">
        <f t="shared" si="16"/>
        <v>Footprints\SOIC-8.PcbLib</v>
      </c>
      <c r="G52" s="25" t="s">
        <v>58</v>
      </c>
      <c r="L52" s="14" t="s">
        <v>345</v>
      </c>
      <c r="M52" s="6" t="s">
        <v>64</v>
      </c>
    </row>
    <row r="53" spans="1:13" ht="14.25" customHeight="1">
      <c r="A53" s="6" t="s">
        <v>348</v>
      </c>
      <c r="B53" s="6" t="s">
        <v>349</v>
      </c>
      <c r="C53" s="4" t="str">
        <f t="shared" si="12"/>
        <v>CM5116000</v>
      </c>
      <c r="D53" s="6" t="str">
        <f t="shared" si="17"/>
        <v>Schematic\CM5116000.SchLib</v>
      </c>
      <c r="E53" s="6" t="str">
        <f t="shared" si="18"/>
        <v>CM5116000</v>
      </c>
      <c r="F53" s="6" t="str">
        <f>CONCATENATE("Footprints\CM5116000.PcbLib")</f>
        <v>Footprints\CM5116000.PcbLib</v>
      </c>
      <c r="G53" s="6" t="s">
        <v>348</v>
      </c>
      <c r="L53" s="6" t="s">
        <v>353</v>
      </c>
      <c r="M53" s="6" t="s">
        <v>45</v>
      </c>
    </row>
    <row r="54" spans="1:13" ht="14.25" customHeight="1">
      <c r="A54" s="6" t="s">
        <v>354</v>
      </c>
      <c r="B54" s="6" t="s">
        <v>355</v>
      </c>
      <c r="C54" s="4" t="str">
        <f t="shared" si="12"/>
        <v>ST1S40IPUR</v>
      </c>
      <c r="D54" s="6" t="str">
        <f t="shared" si="17"/>
        <v>Schematic\ST1S40IPUR.SchLib</v>
      </c>
      <c r="E54" s="6" t="str">
        <f t="shared" si="18"/>
        <v>ST1S40IPUR</v>
      </c>
      <c r="F54" s="6" t="str">
        <f t="shared" si="19" ref="F54:F69">CONCATENATE("Footprints\",G54,".PcbLib")</f>
        <v>Footprints\VFQFPN8-4X4.PcbLib</v>
      </c>
      <c r="G54" s="6" t="s">
        <v>356</v>
      </c>
      <c r="L54" s="14" t="s">
        <v>358</v>
      </c>
      <c r="M54" s="6" t="s">
        <v>45</v>
      </c>
    </row>
    <row r="55" spans="1:13" ht="14.25" customHeight="1">
      <c r="A55" s="6" t="s">
        <v>361</v>
      </c>
      <c r="B55" s="6" t="s">
        <v>362</v>
      </c>
      <c r="C55" s="4" t="str">
        <f t="shared" si="12"/>
        <v>MT9700</v>
      </c>
      <c r="D55" s="6" t="str">
        <f t="shared" si="17"/>
        <v>Schematic\MT9700.SchLib</v>
      </c>
      <c r="E55" s="6" t="str">
        <f t="shared" si="18"/>
        <v>MT9700</v>
      </c>
      <c r="F55" s="6" t="str">
        <f t="shared" si="19"/>
        <v>Footprints\SOT23-5.PcbLib</v>
      </c>
      <c r="G55" s="6" t="s">
        <v>327</v>
      </c>
      <c r="L55" s="6" t="s">
        <v>364</v>
      </c>
      <c r="M55" s="6" t="s">
        <v>45</v>
      </c>
    </row>
    <row r="56" spans="1:13" ht="14.25" customHeight="1">
      <c r="A56" s="6" t="s">
        <v>365</v>
      </c>
      <c r="B56" s="6" t="s">
        <v>366</v>
      </c>
      <c r="C56" s="4" t="str">
        <f t="shared" si="12"/>
        <v>NSi8100NC</v>
      </c>
      <c r="D56" s="6" t="str">
        <f t="shared" si="17"/>
        <v>Schematic\NSi8100NC.SchLib</v>
      </c>
      <c r="E56" s="6" t="str">
        <f t="shared" si="18"/>
        <v>NSi8100NC</v>
      </c>
      <c r="F56" s="6" t="str">
        <f t="shared" si="19"/>
        <v>Footprints\SOIC-8.PcbLib</v>
      </c>
      <c r="G56" s="4" t="s">
        <v>58</v>
      </c>
      <c r="L56" s="14" t="s">
        <v>369</v>
      </c>
      <c r="M56" s="6" t="s">
        <v>370</v>
      </c>
    </row>
    <row r="57" spans="1:13" ht="14.25" customHeight="1">
      <c r="A57" s="24" t="s">
        <v>371</v>
      </c>
      <c r="B57" s="6" t="s">
        <v>373</v>
      </c>
      <c r="C57" s="4" t="str">
        <f t="shared" si="12"/>
        <v>UCC27211</v>
      </c>
      <c r="D57" s="6" t="str">
        <f t="shared" si="17"/>
        <v>Schematic\UCC27211.SchLib</v>
      </c>
      <c r="E57" s="6" t="str">
        <f t="shared" si="18"/>
        <v>UCC27211</v>
      </c>
      <c r="F57" s="6" t="str">
        <f t="shared" si="19"/>
        <v>Footprints\SOIC-8.PcbLib</v>
      </c>
      <c r="G57" s="4" t="s">
        <v>58</v>
      </c>
      <c r="L57" s="14" t="s">
        <v>376</v>
      </c>
      <c r="M57" s="6" t="s">
        <v>64</v>
      </c>
    </row>
    <row r="58" spans="1:13" ht="14.25" customHeight="1">
      <c r="A58" s="6" t="s">
        <v>377</v>
      </c>
      <c r="B58" s="6" t="s">
        <v>378</v>
      </c>
      <c r="C58" s="4" t="str">
        <f t="shared" si="12"/>
        <v>AD8656</v>
      </c>
      <c r="D58" s="6" t="str">
        <f t="shared" si="17"/>
        <v>Schematic\AD8656.SchLib</v>
      </c>
      <c r="E58" s="6" t="str">
        <f t="shared" si="18"/>
        <v>AD8656</v>
      </c>
      <c r="F58" s="6" t="str">
        <f t="shared" si="19"/>
        <v>Footprints\SOIC-8.PcbLib</v>
      </c>
      <c r="G58" s="4" t="s">
        <v>58</v>
      </c>
      <c r="H58" s="6" t="str">
        <f>CONCATENATE("Footprints\",I58,".PcbLib")</f>
        <v>Footprints\MSOP-8.PcbLib</v>
      </c>
      <c r="I58" s="4" t="s">
        <v>382</v>
      </c>
      <c r="L58" s="14" t="s">
        <v>383</v>
      </c>
      <c r="M58" s="6" t="s">
        <v>64</v>
      </c>
    </row>
    <row r="59" spans="1:13" ht="14.25" customHeight="1">
      <c r="A59" s="6" t="s">
        <v>386</v>
      </c>
      <c r="B59" s="4" t="s">
        <v>387</v>
      </c>
      <c r="C59" s="4" t="str">
        <f t="shared" si="12"/>
        <v>STM32H743VIT6</v>
      </c>
      <c r="D59" s="6" t="str">
        <f t="shared" si="17"/>
        <v>Schematic\STM32H743VIT6.SchLib</v>
      </c>
      <c r="E59" s="6" t="str">
        <f t="shared" si="18"/>
        <v>STM32H743VIT6</v>
      </c>
      <c r="F59" s="6" t="str">
        <f t="shared" si="19"/>
        <v>Footprints\LQFP100.PcbLib</v>
      </c>
      <c r="G59" s="4" t="s">
        <v>35</v>
      </c>
      <c r="L59" s="14" t="s">
        <v>389</v>
      </c>
      <c r="M59" s="6" t="s">
        <v>64</v>
      </c>
    </row>
    <row r="60" spans="1:13" ht="14.25" customHeight="1">
      <c r="A60" s="6" t="s">
        <v>391</v>
      </c>
      <c r="B60" s="6" t="s">
        <v>393</v>
      </c>
      <c r="C60" s="4" t="str">
        <f t="shared" si="12"/>
        <v>AD8031</v>
      </c>
      <c r="D60" s="6" t="str">
        <f t="shared" si="17"/>
        <v>Schematic\AD8031.SchLib</v>
      </c>
      <c r="E60" s="6" t="str">
        <f t="shared" si="18"/>
        <v>AD8031</v>
      </c>
      <c r="F60" s="6" t="str">
        <f t="shared" si="19"/>
        <v>Footprints\SOT23-5.PcbLib</v>
      </c>
      <c r="G60" s="6" t="s">
        <v>327</v>
      </c>
      <c r="L60" s="14" t="s">
        <v>395</v>
      </c>
      <c r="M60" s="6" t="s">
        <v>64</v>
      </c>
    </row>
    <row r="61" spans="1:13" ht="14.25" customHeight="1">
      <c r="A61" s="6" t="s">
        <v>398</v>
      </c>
      <c r="B61" s="6" t="s">
        <v>399</v>
      </c>
      <c r="C61" s="4" t="str">
        <f t="shared" si="12"/>
        <v>AP63205</v>
      </c>
      <c r="D61" s="6" t="str">
        <f t="shared" si="20" ref="D61:D62">CONCATENATE("Schematic\",E61,".SchLib")</f>
        <v>Schematic\AP63205.SchLib</v>
      </c>
      <c r="E61" s="6" t="s">
        <v>398</v>
      </c>
      <c r="F61" s="6" t="str">
        <f t="shared" si="19"/>
        <v>Footprints\TSOT26.PcbLib</v>
      </c>
      <c r="G61" s="6" t="s">
        <v>333</v>
      </c>
      <c r="L61" s="14" t="s">
        <v>401</v>
      </c>
      <c r="M61" s="28" t="s">
        <v>64</v>
      </c>
    </row>
    <row r="62" spans="1:13" ht="14.25" customHeight="1">
      <c r="A62" s="6" t="s">
        <v>405</v>
      </c>
      <c r="B62" s="6" t="s">
        <v>406</v>
      </c>
      <c r="C62" s="4" t="str">
        <f t="shared" si="12"/>
        <v>ADP150AUJZ-3.3</v>
      </c>
      <c r="D62" s="6" t="str">
        <f t="shared" si="20"/>
        <v>Schematic\ADP150AUJZ-3.3.SchLib</v>
      </c>
      <c r="E62" s="30" t="str">
        <f t="shared" si="21" ref="E62:E70">A62</f>
        <v>ADP150AUJZ-3.3</v>
      </c>
      <c r="F62" s="30" t="str">
        <f t="shared" si="19"/>
        <v>Footprints\SOT23-5.PcbLib</v>
      </c>
      <c r="G62" s="30" t="s">
        <v>327</v>
      </c>
      <c r="L62" s="14" t="s">
        <v>410</v>
      </c>
      <c r="M62" s="32" t="s">
        <v>64</v>
      </c>
    </row>
    <row r="63" spans="1:13" ht="14.25" customHeight="1">
      <c r="A63" s="6" t="s">
        <v>415</v>
      </c>
      <c r="B63" s="6" t="s">
        <v>417</v>
      </c>
      <c r="C63" s="4" t="str">
        <f t="shared" si="12"/>
        <v>REF3030AIDBZR</v>
      </c>
      <c r="D63" s="6" t="str">
        <f t="shared" si="22" ref="D63:D70">CONCATENATE("Schematic\",A63,".SchLib")</f>
        <v>Schematic\REF3030AIDBZR.SchLib</v>
      </c>
      <c r="E63" s="6" t="str">
        <f t="shared" si="21"/>
        <v>REF3030AIDBZR</v>
      </c>
      <c r="F63" s="6" t="str">
        <f t="shared" si="19"/>
        <v>Footprints\SOT23-3.PcbLib</v>
      </c>
      <c r="G63" s="6" t="s">
        <v>56</v>
      </c>
      <c r="L63" s="14" t="s">
        <v>420</v>
      </c>
      <c r="M63" s="32" t="s">
        <v>64</v>
      </c>
    </row>
    <row r="64" spans="1:13" ht="14.25" customHeight="1">
      <c r="A64" s="6" t="s">
        <v>424</v>
      </c>
      <c r="B64" s="6" t="s">
        <v>425</v>
      </c>
      <c r="C64" s="4" t="str">
        <f t="shared" si="12"/>
        <v>MAX3051EKA+T</v>
      </c>
      <c r="D64" s="6" t="str">
        <f t="shared" si="22"/>
        <v>Schematic\MAX3051EKA+T.SchLib</v>
      </c>
      <c r="E64" s="6" t="str">
        <f t="shared" si="21"/>
        <v>MAX3051EKA+T</v>
      </c>
      <c r="F64" s="6" t="str">
        <f t="shared" si="19"/>
        <v>Footprints\SOT23-8.PcbLib</v>
      </c>
      <c r="G64" s="6" t="s">
        <v>430</v>
      </c>
      <c r="L64" s="14" t="s">
        <v>431</v>
      </c>
      <c r="M64" s="32" t="s">
        <v>64</v>
      </c>
    </row>
    <row r="65" spans="1:13" ht="14.25" customHeight="1">
      <c r="A65" s="6" t="s">
        <v>438</v>
      </c>
      <c r="B65" s="4" t="s">
        <v>20</v>
      </c>
      <c r="C65" s="4" t="str">
        <f t="shared" si="12"/>
        <v>ATTINY412</v>
      </c>
      <c r="D65" s="6" t="str">
        <f t="shared" si="22"/>
        <v>Schematic\ATTINY412.SchLib</v>
      </c>
      <c r="E65" s="6" t="str">
        <f t="shared" si="21"/>
        <v>ATTINY412</v>
      </c>
      <c r="F65" s="6" t="str">
        <f t="shared" si="19"/>
        <v>Footprints\SOIC-8.PcbLib</v>
      </c>
      <c r="G65" s="25" t="s">
        <v>58</v>
      </c>
      <c r="L65" s="6" t="s">
        <v>444</v>
      </c>
      <c r="M65" s="6" t="s">
        <v>446</v>
      </c>
    </row>
    <row r="66" spans="1:13" ht="14.25" customHeight="1">
      <c r="A66" s="6" t="s">
        <v>447</v>
      </c>
      <c r="B66" s="6" t="s">
        <v>448</v>
      </c>
      <c r="C66" s="4" t="str">
        <f t="shared" si="12"/>
        <v>CH340N</v>
      </c>
      <c r="D66" s="6" t="str">
        <f t="shared" si="22"/>
        <v>Schematic\CH340N.SchLib</v>
      </c>
      <c r="E66" s="6" t="str">
        <f t="shared" si="21"/>
        <v>CH340N</v>
      </c>
      <c r="F66" s="6" t="str">
        <f t="shared" si="19"/>
        <v>Footprints\SOP8.PcbLib</v>
      </c>
      <c r="G66" s="6" t="s">
        <v>156</v>
      </c>
      <c r="L66" s="14" t="s">
        <v>450</v>
      </c>
      <c r="M66" s="6" t="s">
        <v>446</v>
      </c>
    </row>
    <row r="67" spans="1:13" ht="14.25" customHeight="1">
      <c r="A67" s="6" t="s">
        <v>455</v>
      </c>
      <c r="B67" s="6" t="s">
        <v>456</v>
      </c>
      <c r="C67" s="4" t="str">
        <f t="shared" si="12"/>
        <v>MAX809</v>
      </c>
      <c r="D67" s="6" t="str">
        <f t="shared" si="22"/>
        <v>Schematic\MAX809.SchLib</v>
      </c>
      <c r="E67" s="6" t="str">
        <f t="shared" si="21"/>
        <v>MAX809</v>
      </c>
      <c r="F67" s="6" t="str">
        <f t="shared" si="19"/>
        <v>Footprints\SOT23-3.PcbLib</v>
      </c>
      <c r="G67" s="6" t="s">
        <v>56</v>
      </c>
      <c r="L67" s="6" t="s">
        <v>464</v>
      </c>
      <c r="M67" s="6" t="s">
        <v>446</v>
      </c>
    </row>
    <row r="68" spans="1:13" ht="14.25" customHeight="1">
      <c r="A68" s="6" t="s">
        <v>465</v>
      </c>
      <c r="B68" s="6" t="s">
        <v>468</v>
      </c>
      <c r="C68" s="4" t="str">
        <f t="shared" si="12"/>
        <v>XT4052</v>
      </c>
      <c r="D68" s="6" t="str">
        <f t="shared" si="22"/>
        <v>Schematic\XT4052.SchLib</v>
      </c>
      <c r="E68" s="6" t="str">
        <f t="shared" si="21"/>
        <v>XT4052</v>
      </c>
      <c r="F68" s="6" t="str">
        <f t="shared" si="19"/>
        <v>Footprints\SOT23-5.PcbLib</v>
      </c>
      <c r="G68" s="25" t="s">
        <v>327</v>
      </c>
      <c r="L68" s="14" t="s">
        <v>471</v>
      </c>
      <c r="M68" s="6" t="s">
        <v>446</v>
      </c>
    </row>
    <row r="69" spans="1:13" ht="14.25" customHeight="1">
      <c r="A69" s="6" t="s">
        <v>472</v>
      </c>
      <c r="B69" s="6" t="s">
        <v>473</v>
      </c>
      <c r="C69" s="4" t="str">
        <f t="shared" si="12"/>
        <v>WS2812B</v>
      </c>
      <c r="D69" s="6" t="str">
        <f t="shared" si="22"/>
        <v>Schematic\WS2812B.SchLib</v>
      </c>
      <c r="E69" s="6" t="str">
        <f t="shared" si="21"/>
        <v>WS2812B</v>
      </c>
      <c r="F69" s="6" t="str">
        <f t="shared" si="19"/>
        <v>Footprints\LED_RGB_5MM.PcbLib</v>
      </c>
      <c r="G69" s="6" t="s">
        <v>475</v>
      </c>
      <c r="L69" s="6" t="s">
        <v>476</v>
      </c>
      <c r="M69" s="6" t="s">
        <v>446</v>
      </c>
    </row>
    <row r="70" spans="1:13" ht="14.25" customHeight="1">
      <c r="A70" s="35" t="s">
        <v>477</v>
      </c>
      <c r="B70" s="35" t="s">
        <v>75</v>
      </c>
      <c r="C70" s="36" t="str">
        <f t="shared" si="12"/>
        <v>LM317</v>
      </c>
      <c r="D70" s="37" t="str">
        <f t="shared" si="22"/>
        <v>Schematic\LM317.SchLib</v>
      </c>
      <c r="E70" s="37" t="str">
        <f t="shared" si="21"/>
        <v>LM317</v>
      </c>
      <c r="F70" s="35" t="s">
        <v>481</v>
      </c>
      <c r="G70" s="35" t="s">
        <v>482</v>
      </c>
      <c r="H70" s="37"/>
      <c r="I70" s="37"/>
      <c r="J70" s="37"/>
      <c r="K70" s="37"/>
      <c r="L70" s="38" t="s">
        <v>483</v>
      </c>
      <c r="M70" s="37"/>
    </row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12FA3A1C-259A-47BB-BD5D-4B88C260261A}" filter="1" showAutoFilter="1" topLeftCell="A1">
      <pageMargins left="0.75" right="0.75" top="1" bottom="1" header="0.5" footer="0.5"/>
      <autoFilter ref="A1:M70"/>
    </customSheetView>
  </customSheetViews>
  <hyperlinks>
    <hyperlink ref="L52" r:id="rId1" display="https://cdn.promelec.ru/upload/datasheet/1/3/Infineon-IRS21867-DS-v01_01-EN.pdf"/>
    <hyperlink ref="L54" r:id="rId2" display="https://cdn.promelec.ru/upload/datasheet/6/4/CD00284753.pdf"/>
    <hyperlink ref="L56" r:id="rId3" display="https://cdn.promelec.ru/upload/items/2023/10/13/NSi8100NC_.pdf"/>
    <hyperlink ref="L57" r:id="rId4" display="https://static.chipdip.ru/lib/348/DOC032348430.pdf"/>
    <hyperlink ref="L58" r:id="rId5" display="https://static.chipdip.ru/lib/442/DOC011442004.pdf"/>
    <hyperlink ref="L59" r:id="rId6" display="https://static.chipdip.ru/lib/529/DOC010529789.pdf"/>
    <hyperlink ref="L60" r:id="rId7" display="https://static.chipdip.ru/lib/262/DOC005262075.pdf"/>
    <hyperlink ref="L61" r:id="rId8" display="https://static.chipdip.ru/lib/416/DOC012416105.pdf"/>
    <hyperlink ref="L62" r:id="rId9" display="https://static.chipdip.ru/lib/986/DOC003986581.pdf"/>
    <hyperlink ref="L63" r:id="rId10" display="https://static.chipdip.ru/lib/248/DOC000248445.pdf"/>
    <hyperlink ref="L64" r:id="rId11" display="https://static.chipdip.ru/lib/876/DOC015876362.pdf"/>
    <hyperlink ref="L66" r:id="rId12" display="https://static.chipdip.ru/lib/375/DOC030375417.pdf"/>
    <hyperlink ref="L70" r:id="rId13" display="https://www.onsemi.com/pdf/datasheet/lm317-d.pdf"/>
  </hyperlinks>
  <pageMargins left="0.7" right="0.7" top="0.75" bottom="0.75" header="0" footer="0"/>
  <pageSetup orientation="portrait" paperSize="9"/>
  <tableParts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100-000000000000}">
  <dimension ref="A1:K1000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13.5714285714286" customWidth="1"/>
    <col min="2" max="2" width="33.5714285714286" customWidth="1"/>
    <col min="3" max="3" width="11.2857142857143" customWidth="1"/>
    <col min="4" max="4" width="31.2857142857143" customWidth="1"/>
    <col min="5" max="5" width="14.7142857142857" customWidth="1"/>
    <col min="6" max="6" width="25.2857142857143" customWidth="1"/>
    <col min="7" max="7" width="16.5714285714286" customWidth="1"/>
    <col min="8" max="8" width="12.7142857142857" customWidth="1"/>
    <col min="9" max="9" width="12.2857142857143" customWidth="1"/>
    <col min="10" max="10" width="13.2857142857143" customWidth="1"/>
    <col min="11" max="26" width="8.71428571428571" customWidth="1"/>
  </cols>
  <sheetData>
    <row r="1" spans="1:11" ht="14.25" customHeigh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12</v>
      </c>
      <c r="I1" s="5" t="s">
        <v>14</v>
      </c>
      <c r="J1" s="2" t="s">
        <v>11</v>
      </c>
      <c r="K1" s="2" t="s">
        <v>13</v>
      </c>
    </row>
    <row r="2" spans="1:11" ht="14.25" customHeight="1">
      <c r="A2" s="4" t="s">
        <v>25</v>
      </c>
      <c r="B2" s="6" t="str">
        <f t="shared" si="0" ref="B2:B12">CONCATENATE("Диод шоттки на ",H2," В, ном. ток ",I2," А")</f>
        <v>Диод шоттки на 30 В, ном. ток 3 А А</v>
      </c>
      <c r="C2" s="4" t="str">
        <f t="shared" si="1" ref="C2:C12">A2</f>
        <v>SK33</v>
      </c>
      <c r="D2" s="4" t="s">
        <v>48</v>
      </c>
      <c r="E2" s="4" t="s">
        <v>51</v>
      </c>
      <c r="F2" s="4" t="str">
        <f t="shared" si="2" ref="F2:F12">CONCATENATE("Footprints\",G2,".PcbLib")</f>
        <v>Footprints\SMC.PcbLib</v>
      </c>
      <c r="G2" s="4" t="s">
        <v>59</v>
      </c>
      <c r="H2" s="8">
        <v>30</v>
      </c>
      <c r="I2" s="9" t="s">
        <v>63</v>
      </c>
      <c r="K2" s="6" t="s">
        <v>64</v>
      </c>
    </row>
    <row r="3" spans="1:11" ht="14.25" customHeight="1">
      <c r="A3" s="4" t="s">
        <v>69</v>
      </c>
      <c r="B3" s="6" t="str">
        <f t="shared" si="0"/>
        <v>Диод шоттки на 20 В, ном. ток 3 А А</v>
      </c>
      <c r="C3" s="4" t="str">
        <f t="shared" si="1"/>
        <v>SK32</v>
      </c>
      <c r="D3" s="4" t="s">
        <v>48</v>
      </c>
      <c r="E3" s="4" t="s">
        <v>51</v>
      </c>
      <c r="F3" s="4" t="str">
        <f t="shared" si="2"/>
        <v>Footprints\SMC.PcbLib</v>
      </c>
      <c r="G3" s="4" t="s">
        <v>59</v>
      </c>
      <c r="H3" s="10" t="s">
        <v>74</v>
      </c>
      <c r="I3" s="9" t="s">
        <v>63</v>
      </c>
      <c r="K3" s="6" t="s">
        <v>64</v>
      </c>
    </row>
    <row r="4" spans="1:9" ht="14.25" customHeight="1">
      <c r="A4" s="6" t="s">
        <v>79</v>
      </c>
      <c r="B4" s="6" t="str">
        <f t="shared" si="0"/>
        <v>Диод шоттки на 30 В, ном. ток 0,2 А А</v>
      </c>
      <c r="C4" s="6" t="str">
        <f t="shared" si="1"/>
        <v>BAT54WS</v>
      </c>
      <c r="D4" s="4" t="s">
        <v>48</v>
      </c>
      <c r="E4" s="6" t="s">
        <v>51</v>
      </c>
      <c r="F4" s="6" t="str">
        <f t="shared" si="2"/>
        <v>Footprints\SOD-323.PcbLib</v>
      </c>
      <c r="G4" s="6" t="s">
        <v>28</v>
      </c>
      <c r="H4" s="8">
        <v>30</v>
      </c>
      <c r="I4" s="9" t="s">
        <v>88</v>
      </c>
    </row>
    <row r="5" spans="1:11" ht="14.25" customHeight="1">
      <c r="A5" s="6" t="s">
        <v>92</v>
      </c>
      <c r="B5" s="6" t="str">
        <f t="shared" si="0"/>
        <v>Диод шоттки на 45 В, ном. ток 10 А А</v>
      </c>
      <c r="C5" s="6" t="str">
        <f t="shared" si="1"/>
        <v>10S45SP</v>
      </c>
      <c r="D5" s="4" t="s">
        <v>48</v>
      </c>
      <c r="E5" s="6" t="s">
        <v>51</v>
      </c>
      <c r="F5" s="6" t="str">
        <f t="shared" si="2"/>
        <v>Footprints\TO-277.PcbLib</v>
      </c>
      <c r="G5" s="6" t="s">
        <v>97</v>
      </c>
      <c r="H5" s="8">
        <v>45</v>
      </c>
      <c r="I5" s="9" t="s">
        <v>99</v>
      </c>
      <c r="K5" s="6" t="s">
        <v>45</v>
      </c>
    </row>
    <row r="6" spans="1:11" ht="14.25" customHeight="1">
      <c r="A6" s="6" t="s">
        <v>100</v>
      </c>
      <c r="B6" s="6" t="str">
        <f t="shared" si="0"/>
        <v>Диод шоттки на 100 В, ном. ток 8 А А</v>
      </c>
      <c r="C6" s="6" t="str">
        <f t="shared" si="1"/>
        <v>SK810</v>
      </c>
      <c r="D6" s="4" t="s">
        <v>48</v>
      </c>
      <c r="E6" s="6" t="s">
        <v>51</v>
      </c>
      <c r="F6" s="6" t="str">
        <f t="shared" si="2"/>
        <v>Footprints\SMC.PcbLib</v>
      </c>
      <c r="G6" s="6" t="s">
        <v>59</v>
      </c>
      <c r="H6" s="8">
        <v>100</v>
      </c>
      <c r="I6" s="9" t="s">
        <v>106</v>
      </c>
      <c r="K6" s="6" t="s">
        <v>45</v>
      </c>
    </row>
    <row r="7" spans="1:9" ht="14.25" customHeight="1">
      <c r="A7" s="6" t="s">
        <v>107</v>
      </c>
      <c r="B7" s="6" t="str">
        <f t="shared" si="0"/>
        <v>Диод шоттки на 40 В, ном. ток 2,1 А А</v>
      </c>
      <c r="C7" s="6" t="str">
        <f t="shared" si="1"/>
        <v>15MQ040N</v>
      </c>
      <c r="D7" s="4" t="s">
        <v>48</v>
      </c>
      <c r="E7" s="6" t="s">
        <v>51</v>
      </c>
      <c r="F7" s="6" t="str">
        <f t="shared" si="2"/>
        <v>Footprints\SMA.PcbLib</v>
      </c>
      <c r="G7" s="6" t="s">
        <v>93</v>
      </c>
      <c r="H7" s="8">
        <v>40</v>
      </c>
      <c r="I7" s="9" t="s">
        <v>116</v>
      </c>
    </row>
    <row r="8" spans="1:9" ht="14.25" customHeight="1">
      <c r="A8" s="6" t="s">
        <v>117</v>
      </c>
      <c r="B8" s="6" t="str">
        <f t="shared" si="0"/>
        <v>Диод шоттки на 70 В, ном. ток 0,7 А А</v>
      </c>
      <c r="C8" s="6" t="str">
        <f t="shared" si="1"/>
        <v>BAS70-04-7-F</v>
      </c>
      <c r="D8" s="4" t="s">
        <v>122</v>
      </c>
      <c r="E8" s="6" t="s">
        <v>117</v>
      </c>
      <c r="F8" s="6" t="str">
        <f t="shared" si="2"/>
        <v>Footprints\SOT23.PcbLib</v>
      </c>
      <c r="G8" s="6" t="s">
        <v>124</v>
      </c>
      <c r="H8" s="8">
        <v>70</v>
      </c>
      <c r="I8" s="9" t="s">
        <v>125</v>
      </c>
    </row>
    <row r="9" spans="1:11" ht="14.25" customHeight="1">
      <c r="A9" s="6" t="s">
        <v>128</v>
      </c>
      <c r="B9" s="6" t="str">
        <f t="shared" si="0"/>
        <v>Диод шоттки на 60 В, ном. ток 5 А А</v>
      </c>
      <c r="C9" s="6" t="str">
        <f t="shared" si="1"/>
        <v>SK56</v>
      </c>
      <c r="D9" s="4" t="s">
        <v>48</v>
      </c>
      <c r="E9" s="6" t="s">
        <v>51</v>
      </c>
      <c r="F9" s="6" t="str">
        <f t="shared" si="2"/>
        <v>Footprints\SMC.PcbLib</v>
      </c>
      <c r="G9" s="4" t="s">
        <v>59</v>
      </c>
      <c r="H9" s="8">
        <v>60</v>
      </c>
      <c r="I9" s="9" t="s">
        <v>130</v>
      </c>
      <c r="K9" s="6" t="s">
        <v>64</v>
      </c>
    </row>
    <row r="10" spans="1:11" ht="14.25" customHeight="1">
      <c r="A10" s="6" t="s">
        <v>134</v>
      </c>
      <c r="B10" s="6" t="str">
        <f t="shared" si="0"/>
        <v>Диод шоттки на 40 В, ном. ток 5 А А</v>
      </c>
      <c r="C10" s="6" t="str">
        <f t="shared" si="1"/>
        <v>SK54</v>
      </c>
      <c r="D10" s="4" t="s">
        <v>48</v>
      </c>
      <c r="E10" s="6" t="s">
        <v>51</v>
      </c>
      <c r="F10" s="6" t="str">
        <f t="shared" si="2"/>
        <v>Footprints\SMC.PcbLib</v>
      </c>
      <c r="G10" s="4" t="s">
        <v>59</v>
      </c>
      <c r="H10" s="8">
        <v>40</v>
      </c>
      <c r="I10" s="9" t="s">
        <v>130</v>
      </c>
      <c r="K10" s="6" t="s">
        <v>64</v>
      </c>
    </row>
    <row r="11" spans="1:9" ht="14.25" customHeight="1">
      <c r="A11" s="6" t="s">
        <v>140</v>
      </c>
      <c r="B11" s="6" t="str">
        <f t="shared" si="0"/>
        <v>Диод шоттки на 50 В, ном. ток 5 А А</v>
      </c>
      <c r="C11" s="6" t="str">
        <f t="shared" si="1"/>
        <v>B550C</v>
      </c>
      <c r="D11" s="4" t="s">
        <v>48</v>
      </c>
      <c r="E11" s="6" t="s">
        <v>51</v>
      </c>
      <c r="F11" s="6" t="str">
        <f t="shared" si="2"/>
        <v>Footprints\SMC.PcbLib</v>
      </c>
      <c r="G11" s="4" t="s">
        <v>59</v>
      </c>
      <c r="H11" s="8">
        <v>50</v>
      </c>
      <c r="I11" s="9" t="s">
        <v>130</v>
      </c>
    </row>
    <row r="12" spans="1:9" ht="14.25" customHeight="1">
      <c r="A12" s="6" t="s">
        <v>146</v>
      </c>
      <c r="B12" s="6" t="str">
        <f t="shared" si="0"/>
        <v>Диод шоттки на 100 В, ном. ток 2 А А</v>
      </c>
      <c r="C12" s="6" t="str">
        <f t="shared" si="1"/>
        <v>20MQ100</v>
      </c>
      <c r="D12" s="6" t="s">
        <v>48</v>
      </c>
      <c r="E12" s="6" t="s">
        <v>51</v>
      </c>
      <c r="F12" s="6" t="str">
        <f t="shared" si="2"/>
        <v>Footprints\SMA.PcbLib</v>
      </c>
      <c r="G12" s="6" t="s">
        <v>93</v>
      </c>
      <c r="H12" s="8">
        <v>100</v>
      </c>
      <c r="I12" s="9" t="s">
        <v>151</v>
      </c>
    </row>
    <row r="13" spans="9:9" ht="14.25" customHeight="1">
      <c r="I13" s="13"/>
    </row>
    <row r="14" spans="9:9" ht="14.25" customHeight="1">
      <c r="I14" s="13"/>
    </row>
    <row r="15" spans="9:9" ht="14.25" customHeight="1">
      <c r="I15" s="13"/>
    </row>
    <row r="16" spans="9:9" ht="14.25" customHeight="1">
      <c r="I16" s="13"/>
    </row>
    <row r="17" spans="9:9" ht="14.25" customHeight="1">
      <c r="I17" s="13"/>
    </row>
    <row r="18" spans="9:9" ht="14.25" customHeight="1">
      <c r="I18" s="13"/>
    </row>
    <row r="19" spans="9:9" ht="14.25" customHeight="1">
      <c r="I19" s="13"/>
    </row>
    <row r="20" spans="9:9" ht="14.25" customHeight="1">
      <c r="I20" s="13"/>
    </row>
    <row r="21" spans="9:9" ht="14.25" customHeight="1">
      <c r="I21" s="13"/>
    </row>
    <row r="22" spans="9:9" ht="14.25" customHeight="1">
      <c r="I22" s="13"/>
    </row>
    <row r="23" spans="9:9" ht="14.25" customHeight="1">
      <c r="I23" s="13"/>
    </row>
    <row r="24" spans="9:9" ht="14.25" customHeight="1">
      <c r="I24" s="13"/>
    </row>
    <row r="25" spans="9:9" ht="14.25" customHeight="1">
      <c r="I25" s="13"/>
    </row>
    <row r="26" spans="9:9" ht="14.25" customHeight="1">
      <c r="I26" s="13"/>
    </row>
    <row r="27" spans="9:9" ht="14.25" customHeight="1">
      <c r="I27" s="13"/>
    </row>
    <row r="28" spans="9:9" ht="14.25" customHeight="1">
      <c r="I28" s="13"/>
    </row>
    <row r="29" spans="9:9" ht="14.25" customHeight="1">
      <c r="I29" s="13"/>
    </row>
    <row r="30" spans="9:9" ht="14.25" customHeight="1">
      <c r="I30" s="13"/>
    </row>
    <row r="31" spans="9:9" ht="14.25" customHeight="1">
      <c r="I31" s="13"/>
    </row>
    <row r="32" spans="9:9" ht="14.25" customHeight="1">
      <c r="I32" s="13"/>
    </row>
    <row r="33" spans="9:9" ht="14.25" customHeight="1">
      <c r="I33" s="13"/>
    </row>
    <row r="34" spans="9:9" ht="14.25" customHeight="1">
      <c r="I34" s="13"/>
    </row>
    <row r="35" spans="9:9" ht="14.25" customHeight="1">
      <c r="I35" s="13"/>
    </row>
    <row r="36" spans="9:9" ht="14.25" customHeight="1">
      <c r="I36" s="13"/>
    </row>
    <row r="37" spans="9:9" ht="14.25" customHeight="1">
      <c r="I37" s="13"/>
    </row>
    <row r="38" spans="9:9" ht="14.25" customHeight="1">
      <c r="I38" s="13"/>
    </row>
    <row r="39" spans="9:9" ht="14.25" customHeight="1">
      <c r="I39" s="13"/>
    </row>
    <row r="40" spans="9:9" ht="14.25" customHeight="1">
      <c r="I40" s="13"/>
    </row>
    <row r="41" spans="9:9" ht="14.25" customHeight="1">
      <c r="I41" s="13"/>
    </row>
    <row r="42" spans="9:9" ht="14.25" customHeight="1">
      <c r="I42" s="13"/>
    </row>
    <row r="43" spans="9:9" ht="14.25" customHeight="1">
      <c r="I43" s="13"/>
    </row>
    <row r="44" spans="9:9" ht="14.25" customHeight="1">
      <c r="I44" s="13"/>
    </row>
    <row r="45" spans="9:9" ht="14.25" customHeight="1">
      <c r="I45" s="13"/>
    </row>
    <row r="46" spans="9:9" ht="14.25" customHeight="1">
      <c r="I46" s="13"/>
    </row>
    <row r="47" spans="9:9" ht="14.25" customHeight="1">
      <c r="I47" s="13"/>
    </row>
    <row r="48" spans="9:9" ht="14.25" customHeight="1">
      <c r="I48" s="13"/>
    </row>
    <row r="49" spans="9:9" ht="14.25" customHeight="1">
      <c r="I49" s="13"/>
    </row>
    <row r="50" spans="9:9" ht="14.25" customHeight="1">
      <c r="I50" s="13"/>
    </row>
    <row r="51" spans="9:9" ht="14.25" customHeight="1">
      <c r="I51" s="13"/>
    </row>
    <row r="52" spans="9:9" ht="14.25" customHeight="1">
      <c r="I52" s="13"/>
    </row>
    <row r="53" spans="9:9" ht="14.25" customHeight="1">
      <c r="I53" s="13"/>
    </row>
    <row r="54" spans="9:9" ht="14.25" customHeight="1">
      <c r="I54" s="13"/>
    </row>
    <row r="55" spans="9:9" ht="14.25" customHeight="1">
      <c r="I55" s="13"/>
    </row>
    <row r="56" spans="9:9" ht="14.25" customHeight="1">
      <c r="I56" s="13"/>
    </row>
    <row r="57" spans="9:9" ht="14.25" customHeight="1">
      <c r="I57" s="13"/>
    </row>
    <row r="58" spans="9:9" ht="14.25" customHeight="1">
      <c r="I58" s="13"/>
    </row>
    <row r="59" spans="9:9" ht="14.25" customHeight="1">
      <c r="I59" s="13"/>
    </row>
    <row r="60" spans="9:9" ht="14.25" customHeight="1">
      <c r="I60" s="13"/>
    </row>
    <row r="61" spans="9:9" ht="14.25" customHeight="1">
      <c r="I61" s="13"/>
    </row>
    <row r="62" spans="9:9" ht="14.25" customHeight="1">
      <c r="I62" s="13"/>
    </row>
    <row r="63" spans="9:9" ht="14.25" customHeight="1">
      <c r="I63" s="13"/>
    </row>
    <row r="64" spans="9:9" ht="14.25" customHeight="1">
      <c r="I64" s="13"/>
    </row>
    <row r="65" spans="9:9" ht="14.25" customHeight="1">
      <c r="I65" s="13"/>
    </row>
    <row r="66" spans="9:9" ht="14.25" customHeight="1">
      <c r="I66" s="13"/>
    </row>
    <row r="67" spans="9:9" ht="14.25" customHeight="1">
      <c r="I67" s="13"/>
    </row>
    <row r="68" spans="9:9" ht="14.25" customHeight="1">
      <c r="I68" s="13"/>
    </row>
    <row r="69" spans="9:9" ht="14.25" customHeight="1">
      <c r="I69" s="13"/>
    </row>
    <row r="70" spans="9:9" ht="14.25" customHeight="1">
      <c r="I70" s="13"/>
    </row>
    <row r="71" spans="9:9" ht="14.25" customHeight="1">
      <c r="I71" s="13"/>
    </row>
    <row r="72" spans="9:9" ht="14.25" customHeight="1">
      <c r="I72" s="13"/>
    </row>
    <row r="73" spans="9:9" ht="14.25" customHeight="1">
      <c r="I73" s="13"/>
    </row>
    <row r="74" spans="9:9" ht="14.25" customHeight="1">
      <c r="I74" s="13"/>
    </row>
    <row r="75" spans="9:9" ht="14.25" customHeight="1">
      <c r="I75" s="13"/>
    </row>
    <row r="76" spans="9:9" ht="14.25" customHeight="1">
      <c r="I76" s="13"/>
    </row>
    <row r="77" spans="9:9" ht="14.25" customHeight="1">
      <c r="I77" s="13"/>
    </row>
    <row r="78" spans="9:9" ht="14.25" customHeight="1">
      <c r="I78" s="13"/>
    </row>
    <row r="79" spans="9:9" ht="14.25" customHeight="1">
      <c r="I79" s="13"/>
    </row>
    <row r="80" spans="9:9" ht="14.25" customHeight="1">
      <c r="I80" s="13"/>
    </row>
    <row r="81" spans="9:9" ht="14.25" customHeight="1">
      <c r="I81" s="13"/>
    </row>
    <row r="82" spans="9:9" ht="14.25" customHeight="1">
      <c r="I82" s="13"/>
    </row>
    <row r="83" spans="9:9" ht="14.25" customHeight="1">
      <c r="I83" s="13"/>
    </row>
    <row r="84" spans="9:9" ht="14.25" customHeight="1">
      <c r="I84" s="13"/>
    </row>
    <row r="85" spans="9:9" ht="14.25" customHeight="1">
      <c r="I85" s="13"/>
    </row>
    <row r="86" spans="9:9" ht="14.25" customHeight="1">
      <c r="I86" s="13"/>
    </row>
    <row r="87" spans="9:9" ht="14.25" customHeight="1">
      <c r="I87" s="13"/>
    </row>
    <row r="88" spans="9:9" ht="14.25" customHeight="1">
      <c r="I88" s="13"/>
    </row>
    <row r="89" spans="9:9" ht="14.25" customHeight="1">
      <c r="I89" s="13"/>
    </row>
    <row r="90" spans="9:9" ht="14.25" customHeight="1">
      <c r="I90" s="13"/>
    </row>
    <row r="91" spans="9:9" ht="14.25" customHeight="1">
      <c r="I91" s="13"/>
    </row>
    <row r="92" spans="9:9" ht="14.25" customHeight="1">
      <c r="I92" s="13"/>
    </row>
    <row r="93" spans="9:9" ht="14.25" customHeight="1">
      <c r="I93" s="13"/>
    </row>
    <row r="94" spans="9:9" ht="14.25" customHeight="1">
      <c r="I94" s="13"/>
    </row>
    <row r="95" spans="9:9" ht="14.25" customHeight="1">
      <c r="I95" s="13"/>
    </row>
    <row r="96" spans="9:9" ht="14.25" customHeight="1">
      <c r="I96" s="13"/>
    </row>
    <row r="97" spans="9:9" ht="14.25" customHeight="1">
      <c r="I97" s="13"/>
    </row>
    <row r="98" spans="9:9" ht="14.25" customHeight="1">
      <c r="I98" s="13"/>
    </row>
    <row r="99" spans="9:9" ht="14.25" customHeight="1">
      <c r="I99" s="13"/>
    </row>
    <row r="100" spans="9:9" ht="14.25" customHeight="1">
      <c r="I100" s="13"/>
    </row>
    <row r="101" spans="9:9" ht="14.25" customHeight="1">
      <c r="I101" s="13"/>
    </row>
    <row r="102" spans="9:9" ht="14.25" customHeight="1">
      <c r="I102" s="13"/>
    </row>
    <row r="103" spans="9:9" ht="14.25" customHeight="1">
      <c r="I103" s="13"/>
    </row>
    <row r="104" spans="9:9" ht="14.25" customHeight="1">
      <c r="I104" s="13"/>
    </row>
    <row r="105" spans="9:9" ht="14.25" customHeight="1">
      <c r="I105" s="13"/>
    </row>
    <row r="106" spans="9:9" ht="14.25" customHeight="1">
      <c r="I106" s="13"/>
    </row>
    <row r="107" spans="9:9" ht="14.25" customHeight="1">
      <c r="I107" s="13"/>
    </row>
    <row r="108" spans="9:9" ht="14.25" customHeight="1">
      <c r="I108" s="13"/>
    </row>
    <row r="109" spans="9:9" ht="14.25" customHeight="1">
      <c r="I109" s="13"/>
    </row>
    <row r="110" spans="9:9" ht="14.25" customHeight="1">
      <c r="I110" s="13"/>
    </row>
    <row r="111" spans="9:9" ht="14.25" customHeight="1">
      <c r="I111" s="13"/>
    </row>
    <row r="112" spans="9:9" ht="14.25" customHeight="1">
      <c r="I112" s="13"/>
    </row>
    <row r="113" spans="9:9" ht="14.25" customHeight="1">
      <c r="I113" s="13"/>
    </row>
    <row r="114" spans="9:9" ht="14.25" customHeight="1">
      <c r="I114" s="13"/>
    </row>
    <row r="115" spans="9:9" ht="14.25" customHeight="1">
      <c r="I115" s="13"/>
    </row>
    <row r="116" spans="9:9" ht="14.25" customHeight="1">
      <c r="I116" s="13"/>
    </row>
    <row r="117" spans="9:9" ht="14.25" customHeight="1">
      <c r="I117" s="13"/>
    </row>
    <row r="118" spans="9:9" ht="14.25" customHeight="1">
      <c r="I118" s="13"/>
    </row>
    <row r="119" spans="9:9" ht="14.25" customHeight="1">
      <c r="I119" s="13"/>
    </row>
    <row r="120" spans="9:9" ht="14.25" customHeight="1">
      <c r="I120" s="13"/>
    </row>
    <row r="121" spans="9:9" ht="14.25" customHeight="1">
      <c r="I121" s="13"/>
    </row>
    <row r="122" spans="9:9" ht="14.25" customHeight="1">
      <c r="I122" s="13"/>
    </row>
    <row r="123" spans="9:9" ht="14.25" customHeight="1">
      <c r="I123" s="13"/>
    </row>
    <row r="124" spans="9:9" ht="14.25" customHeight="1">
      <c r="I124" s="13"/>
    </row>
    <row r="125" spans="9:9" ht="14.25" customHeight="1">
      <c r="I125" s="13"/>
    </row>
    <row r="126" spans="9:9" ht="14.25" customHeight="1">
      <c r="I126" s="13"/>
    </row>
    <row r="127" spans="9:9" ht="14.25" customHeight="1">
      <c r="I127" s="13"/>
    </row>
    <row r="128" spans="9:9" ht="14.25" customHeight="1">
      <c r="I128" s="13"/>
    </row>
    <row r="129" spans="9:9" ht="14.25" customHeight="1">
      <c r="I129" s="13"/>
    </row>
    <row r="130" spans="9:9" ht="14.25" customHeight="1">
      <c r="I130" s="13"/>
    </row>
    <row r="131" spans="9:9" ht="14.25" customHeight="1">
      <c r="I131" s="13"/>
    </row>
    <row r="132" spans="9:9" ht="14.25" customHeight="1">
      <c r="I132" s="13"/>
    </row>
    <row r="133" spans="9:9" ht="14.25" customHeight="1">
      <c r="I133" s="13"/>
    </row>
    <row r="134" spans="9:9" ht="14.25" customHeight="1">
      <c r="I134" s="13"/>
    </row>
    <row r="135" spans="9:9" ht="14.25" customHeight="1">
      <c r="I135" s="13"/>
    </row>
    <row r="136" spans="9:9" ht="14.25" customHeight="1">
      <c r="I136" s="13"/>
    </row>
    <row r="137" spans="9:9" ht="14.25" customHeight="1">
      <c r="I137" s="13"/>
    </row>
    <row r="138" spans="9:9" ht="14.25" customHeight="1">
      <c r="I138" s="13"/>
    </row>
    <row r="139" spans="9:9" ht="14.25" customHeight="1">
      <c r="I139" s="13"/>
    </row>
    <row r="140" spans="9:9" ht="14.25" customHeight="1">
      <c r="I140" s="13"/>
    </row>
    <row r="141" spans="9:9" ht="14.25" customHeight="1">
      <c r="I141" s="13"/>
    </row>
    <row r="142" spans="9:9" ht="14.25" customHeight="1">
      <c r="I142" s="13"/>
    </row>
    <row r="143" spans="9:9" ht="14.25" customHeight="1">
      <c r="I143" s="13"/>
    </row>
    <row r="144" spans="9:9" ht="14.25" customHeight="1">
      <c r="I144" s="13"/>
    </row>
    <row r="145" spans="9:9" ht="14.25" customHeight="1">
      <c r="I145" s="13"/>
    </row>
    <row r="146" spans="9:9" ht="14.25" customHeight="1">
      <c r="I146" s="13"/>
    </row>
    <row r="147" spans="9:9" ht="14.25" customHeight="1">
      <c r="I147" s="13"/>
    </row>
    <row r="148" spans="9:9" ht="14.25" customHeight="1">
      <c r="I148" s="13"/>
    </row>
    <row r="149" spans="9:9" ht="14.25" customHeight="1">
      <c r="I149" s="13"/>
    </row>
    <row r="150" spans="9:9" ht="14.25" customHeight="1">
      <c r="I150" s="13"/>
    </row>
    <row r="151" spans="9:9" ht="14.25" customHeight="1">
      <c r="I151" s="13"/>
    </row>
    <row r="152" spans="9:9" ht="14.25" customHeight="1">
      <c r="I152" s="13"/>
    </row>
    <row r="153" spans="9:9" ht="14.25" customHeight="1">
      <c r="I153" s="13"/>
    </row>
    <row r="154" spans="9:9" ht="14.25" customHeight="1">
      <c r="I154" s="13"/>
    </row>
    <row r="155" spans="9:9" ht="14.25" customHeight="1">
      <c r="I155" s="13"/>
    </row>
    <row r="156" spans="9:9" ht="14.25" customHeight="1">
      <c r="I156" s="13"/>
    </row>
    <row r="157" spans="9:9" ht="14.25" customHeight="1">
      <c r="I157" s="13"/>
    </row>
    <row r="158" spans="9:9" ht="14.25" customHeight="1">
      <c r="I158" s="13"/>
    </row>
    <row r="159" spans="9:9" ht="14.25" customHeight="1">
      <c r="I159" s="13"/>
    </row>
    <row r="160" spans="9:9" ht="14.25" customHeight="1">
      <c r="I160" s="13"/>
    </row>
    <row r="161" spans="9:9" ht="14.25" customHeight="1">
      <c r="I161" s="13"/>
    </row>
    <row r="162" spans="9:9" ht="14.25" customHeight="1">
      <c r="I162" s="13"/>
    </row>
    <row r="163" spans="9:9" ht="14.25" customHeight="1">
      <c r="I163" s="13"/>
    </row>
    <row r="164" spans="9:9" ht="14.25" customHeight="1">
      <c r="I164" s="13"/>
    </row>
    <row r="165" spans="9:9" ht="14.25" customHeight="1">
      <c r="I165" s="13"/>
    </row>
    <row r="166" spans="9:9" ht="14.25" customHeight="1">
      <c r="I166" s="13"/>
    </row>
    <row r="167" spans="9:9" ht="14.25" customHeight="1">
      <c r="I167" s="13"/>
    </row>
    <row r="168" spans="9:9" ht="14.25" customHeight="1">
      <c r="I168" s="13"/>
    </row>
    <row r="169" spans="9:9" ht="14.25" customHeight="1">
      <c r="I169" s="13"/>
    </row>
    <row r="170" spans="9:9" ht="14.25" customHeight="1">
      <c r="I170" s="13"/>
    </row>
    <row r="171" spans="9:9" ht="14.25" customHeight="1">
      <c r="I171" s="13"/>
    </row>
    <row r="172" spans="9:9" ht="14.25" customHeight="1">
      <c r="I172" s="13"/>
    </row>
    <row r="173" spans="9:9" ht="14.25" customHeight="1">
      <c r="I173" s="13"/>
    </row>
    <row r="174" spans="9:9" ht="14.25" customHeight="1">
      <c r="I174" s="13"/>
    </row>
    <row r="175" spans="9:9" ht="14.25" customHeight="1">
      <c r="I175" s="13"/>
    </row>
    <row r="176" spans="9:9" ht="14.25" customHeight="1">
      <c r="I176" s="13"/>
    </row>
    <row r="177" spans="9:9" ht="14.25" customHeight="1">
      <c r="I177" s="13"/>
    </row>
    <row r="178" spans="9:9" ht="14.25" customHeight="1">
      <c r="I178" s="13"/>
    </row>
    <row r="179" spans="9:9" ht="14.25" customHeight="1">
      <c r="I179" s="13"/>
    </row>
    <row r="180" spans="9:9" ht="14.25" customHeight="1">
      <c r="I180" s="13"/>
    </row>
    <row r="181" spans="9:9" ht="14.25" customHeight="1">
      <c r="I181" s="13"/>
    </row>
    <row r="182" spans="9:9" ht="14.25" customHeight="1">
      <c r="I182" s="13"/>
    </row>
    <row r="183" spans="9:9" ht="14.25" customHeight="1">
      <c r="I183" s="13"/>
    </row>
    <row r="184" spans="9:9" ht="14.25" customHeight="1">
      <c r="I184" s="13"/>
    </row>
    <row r="185" spans="9:9" ht="14.25" customHeight="1">
      <c r="I185" s="13"/>
    </row>
    <row r="186" spans="9:9" ht="14.25" customHeight="1">
      <c r="I186" s="13"/>
    </row>
    <row r="187" spans="9:9" ht="14.25" customHeight="1">
      <c r="I187" s="13"/>
    </row>
    <row r="188" spans="9:9" ht="14.25" customHeight="1">
      <c r="I188" s="13"/>
    </row>
    <row r="189" spans="9:9" ht="14.25" customHeight="1">
      <c r="I189" s="13"/>
    </row>
    <row r="190" spans="9:9" ht="14.25" customHeight="1">
      <c r="I190" s="13"/>
    </row>
    <row r="191" spans="9:9" ht="14.25" customHeight="1">
      <c r="I191" s="13"/>
    </row>
    <row r="192" spans="9:9" ht="14.25" customHeight="1">
      <c r="I192" s="13"/>
    </row>
    <row r="193" spans="9:9" ht="14.25" customHeight="1">
      <c r="I193" s="13"/>
    </row>
    <row r="194" spans="9:9" ht="14.25" customHeight="1">
      <c r="I194" s="13"/>
    </row>
    <row r="195" spans="9:9" ht="14.25" customHeight="1">
      <c r="I195" s="13"/>
    </row>
    <row r="196" spans="9:9" ht="14.25" customHeight="1">
      <c r="I196" s="13"/>
    </row>
    <row r="197" spans="9:9" ht="14.25" customHeight="1">
      <c r="I197" s="13"/>
    </row>
    <row r="198" spans="9:9" ht="14.25" customHeight="1">
      <c r="I198" s="13"/>
    </row>
    <row r="199" spans="9:9" ht="14.25" customHeight="1">
      <c r="I199" s="13"/>
    </row>
    <row r="200" spans="9:9" ht="14.25" customHeight="1">
      <c r="I200" s="13"/>
    </row>
    <row r="201" spans="9:9" ht="14.25" customHeight="1">
      <c r="I201" s="13"/>
    </row>
    <row r="202" spans="9:9" ht="14.25" customHeight="1">
      <c r="I202" s="13"/>
    </row>
    <row r="203" spans="9:9" ht="14.25" customHeight="1">
      <c r="I203" s="13"/>
    </row>
    <row r="204" spans="9:9" ht="14.25" customHeight="1">
      <c r="I204" s="13"/>
    </row>
    <row r="205" spans="9:9" ht="14.25" customHeight="1">
      <c r="I205" s="13"/>
    </row>
    <row r="206" spans="9:9" ht="14.25" customHeight="1">
      <c r="I206" s="13"/>
    </row>
    <row r="207" spans="9:9" ht="14.25" customHeight="1">
      <c r="I207" s="13"/>
    </row>
    <row r="208" spans="9:9" ht="14.25" customHeight="1">
      <c r="I208" s="13"/>
    </row>
    <row r="209" spans="9:9" ht="14.25" customHeight="1">
      <c r="I209" s="13"/>
    </row>
    <row r="210" spans="9:9" ht="14.25" customHeight="1">
      <c r="I210" s="13"/>
    </row>
    <row r="211" spans="9:9" ht="14.25" customHeight="1">
      <c r="I211" s="13"/>
    </row>
    <row r="212" spans="9:9" ht="14.25" customHeight="1">
      <c r="I212" s="13"/>
    </row>
    <row r="213" spans="9:9" ht="14.25" customHeight="1">
      <c r="I213" s="13"/>
    </row>
    <row r="214" spans="9:9" ht="14.25" customHeight="1">
      <c r="I214" s="13"/>
    </row>
    <row r="215" spans="9:9" ht="14.25" customHeight="1">
      <c r="I215" s="13"/>
    </row>
    <row r="216" spans="9:9" ht="14.25" customHeight="1">
      <c r="I216" s="13"/>
    </row>
    <row r="217" spans="9:9" ht="14.25" customHeight="1">
      <c r="I217" s="13"/>
    </row>
    <row r="218" spans="9:9" ht="14.25" customHeight="1">
      <c r="I218" s="13"/>
    </row>
    <row r="219" spans="9:9" ht="14.25" customHeight="1">
      <c r="I219" s="13"/>
    </row>
    <row r="220" spans="9:9" ht="14.25" customHeight="1">
      <c r="I220" s="13"/>
    </row>
    <row r="221" spans="9:9" ht="14.25" customHeight="1">
      <c r="I221" s="13"/>
    </row>
    <row r="222" spans="9:9" ht="14.25" customHeight="1">
      <c r="I222" s="13"/>
    </row>
    <row r="223" spans="9:9" ht="14.25" customHeight="1">
      <c r="I223" s="13"/>
    </row>
    <row r="224" spans="9:9" ht="14.25" customHeight="1">
      <c r="I224" s="13"/>
    </row>
    <row r="225" spans="9:9" ht="14.25" customHeight="1">
      <c r="I225" s="13"/>
    </row>
    <row r="226" spans="9:9" ht="14.25" customHeight="1">
      <c r="I226" s="13"/>
    </row>
    <row r="227" spans="9:9" ht="14.25" customHeight="1">
      <c r="I227" s="13"/>
    </row>
    <row r="228" spans="9:9" ht="14.25" customHeight="1">
      <c r="I228" s="13"/>
    </row>
    <row r="229" spans="9:9" ht="14.25" customHeight="1">
      <c r="I229" s="13"/>
    </row>
    <row r="230" spans="9:9" ht="14.25" customHeight="1">
      <c r="I230" s="13"/>
    </row>
    <row r="231" spans="9:9" ht="14.25" customHeight="1">
      <c r="I231" s="13"/>
    </row>
    <row r="232" spans="9:9" ht="14.25" customHeight="1">
      <c r="I232" s="13"/>
    </row>
    <row r="233" spans="9:9" ht="14.25" customHeight="1">
      <c r="I233" s="13"/>
    </row>
    <row r="234" spans="9:9" ht="14.25" customHeight="1">
      <c r="I234" s="13"/>
    </row>
    <row r="235" spans="9:9" ht="14.25" customHeight="1">
      <c r="I235" s="13"/>
    </row>
    <row r="236" spans="9:9" ht="14.25" customHeight="1">
      <c r="I236" s="13"/>
    </row>
    <row r="237" spans="9:9" ht="14.25" customHeight="1">
      <c r="I237" s="13"/>
    </row>
    <row r="238" spans="9:9" ht="14.25" customHeight="1">
      <c r="I238" s="13"/>
    </row>
    <row r="239" spans="9:9" ht="14.25" customHeight="1">
      <c r="I239" s="13"/>
    </row>
    <row r="240" spans="9:9" ht="14.25" customHeight="1">
      <c r="I240" s="13"/>
    </row>
    <row r="241" spans="9:9" ht="14.25" customHeight="1">
      <c r="I241" s="13"/>
    </row>
    <row r="242" spans="9:9" ht="14.25" customHeight="1">
      <c r="I242" s="13"/>
    </row>
    <row r="243" spans="9:9" ht="14.25" customHeight="1">
      <c r="I243" s="13"/>
    </row>
    <row r="244" spans="9:9" ht="14.25" customHeight="1">
      <c r="I244" s="13"/>
    </row>
    <row r="245" spans="9:9" ht="14.25" customHeight="1">
      <c r="I245" s="13"/>
    </row>
    <row r="246" spans="9:9" ht="14.25" customHeight="1">
      <c r="I246" s="13"/>
    </row>
    <row r="247" spans="9:9" ht="14.25" customHeight="1">
      <c r="I247" s="13"/>
    </row>
    <row r="248" spans="9:9" ht="14.25" customHeight="1">
      <c r="I248" s="13"/>
    </row>
    <row r="249" spans="9:9" ht="14.25" customHeight="1">
      <c r="I249" s="13"/>
    </row>
    <row r="250" spans="9:9" ht="14.25" customHeight="1">
      <c r="I250" s="13"/>
    </row>
    <row r="251" spans="9:9" ht="14.25" customHeight="1">
      <c r="I251" s="13"/>
    </row>
    <row r="252" spans="9:9" ht="14.25" customHeight="1">
      <c r="I252" s="13"/>
    </row>
    <row r="253" spans="9:9" ht="14.25" customHeight="1">
      <c r="I253" s="13"/>
    </row>
    <row r="254" spans="9:9" ht="14.25" customHeight="1">
      <c r="I254" s="13"/>
    </row>
    <row r="255" spans="9:9" ht="14.25" customHeight="1">
      <c r="I255" s="13"/>
    </row>
    <row r="256" spans="9:9" ht="14.25" customHeight="1">
      <c r="I256" s="13"/>
    </row>
    <row r="257" spans="9:9" ht="14.25" customHeight="1">
      <c r="I257" s="13"/>
    </row>
    <row r="258" spans="9:9" ht="14.25" customHeight="1">
      <c r="I258" s="13"/>
    </row>
    <row r="259" spans="9:9" ht="14.25" customHeight="1">
      <c r="I259" s="13"/>
    </row>
    <row r="260" spans="9:9" ht="14.25" customHeight="1">
      <c r="I260" s="13"/>
    </row>
    <row r="261" spans="9:9" ht="14.25" customHeight="1">
      <c r="I261" s="13"/>
    </row>
    <row r="262" spans="9:9" ht="14.25" customHeight="1">
      <c r="I262" s="13"/>
    </row>
    <row r="263" spans="9:9" ht="14.25" customHeight="1">
      <c r="I263" s="13"/>
    </row>
    <row r="264" spans="9:9" ht="14.25" customHeight="1">
      <c r="I264" s="13"/>
    </row>
    <row r="265" spans="9:9" ht="14.25" customHeight="1">
      <c r="I265" s="13"/>
    </row>
    <row r="266" spans="9:9" ht="14.25" customHeight="1">
      <c r="I266" s="13"/>
    </row>
    <row r="267" spans="9:9" ht="14.25" customHeight="1">
      <c r="I267" s="13"/>
    </row>
    <row r="268" spans="9:9" ht="14.25" customHeight="1">
      <c r="I268" s="13"/>
    </row>
    <row r="269" spans="9:9" ht="14.25" customHeight="1">
      <c r="I269" s="13"/>
    </row>
    <row r="270" spans="9:9" ht="14.25" customHeight="1">
      <c r="I270" s="13"/>
    </row>
    <row r="271" spans="9:9" ht="14.25" customHeight="1">
      <c r="I271" s="13"/>
    </row>
    <row r="272" spans="9:9" ht="14.25" customHeight="1">
      <c r="I272" s="13"/>
    </row>
    <row r="273" spans="9:9" ht="14.25" customHeight="1">
      <c r="I273" s="13"/>
    </row>
    <row r="274" spans="9:9" ht="14.25" customHeight="1">
      <c r="I274" s="13"/>
    </row>
    <row r="275" spans="9:9" ht="14.25" customHeight="1">
      <c r="I275" s="13"/>
    </row>
    <row r="276" spans="9:9" ht="14.25" customHeight="1">
      <c r="I276" s="13"/>
    </row>
    <row r="277" spans="9:9" ht="14.25" customHeight="1">
      <c r="I277" s="13"/>
    </row>
    <row r="278" spans="9:9" ht="14.25" customHeight="1">
      <c r="I278" s="13"/>
    </row>
    <row r="279" spans="9:9" ht="14.25" customHeight="1">
      <c r="I279" s="13"/>
    </row>
    <row r="280" spans="9:9" ht="14.25" customHeight="1">
      <c r="I280" s="13"/>
    </row>
    <row r="281" spans="9:9" ht="14.25" customHeight="1">
      <c r="I281" s="13"/>
    </row>
    <row r="282" spans="9:9" ht="14.25" customHeight="1">
      <c r="I282" s="13"/>
    </row>
    <row r="283" spans="9:9" ht="14.25" customHeight="1">
      <c r="I283" s="13"/>
    </row>
    <row r="284" spans="9:9" ht="14.25" customHeight="1">
      <c r="I284" s="13"/>
    </row>
    <row r="285" spans="9:9" ht="14.25" customHeight="1">
      <c r="I285" s="13"/>
    </row>
    <row r="286" spans="9:9" ht="14.25" customHeight="1">
      <c r="I286" s="13"/>
    </row>
    <row r="287" spans="9:9" ht="14.25" customHeight="1">
      <c r="I287" s="13"/>
    </row>
    <row r="288" spans="9:9" ht="14.25" customHeight="1">
      <c r="I288" s="13"/>
    </row>
    <row r="289" spans="9:9" ht="14.25" customHeight="1">
      <c r="I289" s="13"/>
    </row>
    <row r="290" spans="9:9" ht="14.25" customHeight="1">
      <c r="I290" s="13"/>
    </row>
    <row r="291" spans="9:9" ht="14.25" customHeight="1">
      <c r="I291" s="13"/>
    </row>
    <row r="292" spans="9:9" ht="14.25" customHeight="1">
      <c r="I292" s="13"/>
    </row>
    <row r="293" spans="9:9" ht="14.25" customHeight="1">
      <c r="I293" s="13"/>
    </row>
    <row r="294" spans="9:9" ht="14.25" customHeight="1">
      <c r="I294" s="13"/>
    </row>
    <row r="295" spans="9:9" ht="14.25" customHeight="1">
      <c r="I295" s="13"/>
    </row>
    <row r="296" spans="9:9" ht="14.25" customHeight="1">
      <c r="I296" s="13"/>
    </row>
    <row r="297" spans="9:9" ht="14.25" customHeight="1">
      <c r="I297" s="13"/>
    </row>
    <row r="298" spans="9:9" ht="14.25" customHeight="1">
      <c r="I298" s="13"/>
    </row>
    <row r="299" spans="9:9" ht="14.25" customHeight="1">
      <c r="I299" s="13"/>
    </row>
    <row r="300" spans="9:9" ht="14.25" customHeight="1">
      <c r="I300" s="13"/>
    </row>
    <row r="301" spans="9:9" ht="14.25" customHeight="1">
      <c r="I301" s="13"/>
    </row>
    <row r="302" spans="9:9" ht="14.25" customHeight="1">
      <c r="I302" s="13"/>
    </row>
    <row r="303" spans="9:9" ht="14.25" customHeight="1">
      <c r="I303" s="13"/>
    </row>
    <row r="304" spans="9:9" ht="14.25" customHeight="1">
      <c r="I304" s="13"/>
    </row>
    <row r="305" spans="9:9" ht="14.25" customHeight="1">
      <c r="I305" s="13"/>
    </row>
    <row r="306" spans="9:9" ht="14.25" customHeight="1">
      <c r="I306" s="13"/>
    </row>
    <row r="307" spans="9:9" ht="14.25" customHeight="1">
      <c r="I307" s="13"/>
    </row>
    <row r="308" spans="9:9" ht="14.25" customHeight="1">
      <c r="I308" s="13"/>
    </row>
    <row r="309" spans="9:9" ht="14.25" customHeight="1">
      <c r="I309" s="13"/>
    </row>
    <row r="310" spans="9:9" ht="14.25" customHeight="1">
      <c r="I310" s="13"/>
    </row>
    <row r="311" spans="9:9" ht="14.25" customHeight="1">
      <c r="I311" s="13"/>
    </row>
    <row r="312" spans="9:9" ht="14.25" customHeight="1">
      <c r="I312" s="13"/>
    </row>
    <row r="313" spans="9:9" ht="14.25" customHeight="1">
      <c r="I313" s="13"/>
    </row>
    <row r="314" spans="9:9" ht="14.25" customHeight="1">
      <c r="I314" s="13"/>
    </row>
    <row r="315" spans="9:9" ht="14.25" customHeight="1">
      <c r="I315" s="13"/>
    </row>
    <row r="316" spans="9:9" ht="14.25" customHeight="1">
      <c r="I316" s="13"/>
    </row>
    <row r="317" spans="9:9" ht="14.25" customHeight="1">
      <c r="I317" s="13"/>
    </row>
    <row r="318" spans="9:9" ht="14.25" customHeight="1">
      <c r="I318" s="13"/>
    </row>
    <row r="319" spans="9:9" ht="14.25" customHeight="1">
      <c r="I319" s="13"/>
    </row>
    <row r="320" spans="9:9" ht="14.25" customHeight="1">
      <c r="I320" s="13"/>
    </row>
    <row r="321" spans="9:9" ht="14.25" customHeight="1">
      <c r="I321" s="13"/>
    </row>
    <row r="322" spans="9:9" ht="14.25" customHeight="1">
      <c r="I322" s="13"/>
    </row>
    <row r="323" spans="9:9" ht="14.25" customHeight="1">
      <c r="I323" s="13"/>
    </row>
    <row r="324" spans="9:9" ht="14.25" customHeight="1">
      <c r="I324" s="13"/>
    </row>
    <row r="325" spans="9:9" ht="14.25" customHeight="1">
      <c r="I325" s="13"/>
    </row>
    <row r="326" spans="9:9" ht="14.25" customHeight="1">
      <c r="I326" s="13"/>
    </row>
    <row r="327" spans="9:9" ht="14.25" customHeight="1">
      <c r="I327" s="13"/>
    </row>
    <row r="328" spans="9:9" ht="14.25" customHeight="1">
      <c r="I328" s="13"/>
    </row>
    <row r="329" spans="9:9" ht="14.25" customHeight="1">
      <c r="I329" s="13"/>
    </row>
    <row r="330" spans="9:9" ht="14.25" customHeight="1">
      <c r="I330" s="13"/>
    </row>
    <row r="331" spans="9:9" ht="14.25" customHeight="1">
      <c r="I331" s="13"/>
    </row>
    <row r="332" spans="9:9" ht="14.25" customHeight="1">
      <c r="I332" s="13"/>
    </row>
    <row r="333" spans="9:9" ht="14.25" customHeight="1">
      <c r="I333" s="13"/>
    </row>
    <row r="334" spans="9:9" ht="14.25" customHeight="1">
      <c r="I334" s="13"/>
    </row>
    <row r="335" spans="9:9" ht="14.25" customHeight="1">
      <c r="I335" s="13"/>
    </row>
    <row r="336" spans="9:9" ht="14.25" customHeight="1">
      <c r="I336" s="13"/>
    </row>
    <row r="337" spans="9:9" ht="14.25" customHeight="1">
      <c r="I337" s="13"/>
    </row>
    <row r="338" spans="9:9" ht="14.25" customHeight="1">
      <c r="I338" s="13"/>
    </row>
    <row r="339" spans="9:9" ht="14.25" customHeight="1">
      <c r="I339" s="13"/>
    </row>
    <row r="340" spans="9:9" ht="14.25" customHeight="1">
      <c r="I340" s="13"/>
    </row>
    <row r="341" spans="9:9" ht="14.25" customHeight="1">
      <c r="I341" s="13"/>
    </row>
    <row r="342" spans="9:9" ht="14.25" customHeight="1">
      <c r="I342" s="13"/>
    </row>
    <row r="343" spans="9:9" ht="14.25" customHeight="1">
      <c r="I343" s="13"/>
    </row>
    <row r="344" spans="9:9" ht="14.25" customHeight="1">
      <c r="I344" s="13"/>
    </row>
    <row r="345" spans="9:9" ht="14.25" customHeight="1">
      <c r="I345" s="13"/>
    </row>
    <row r="346" spans="9:9" ht="14.25" customHeight="1">
      <c r="I346" s="13"/>
    </row>
    <row r="347" spans="9:9" ht="14.25" customHeight="1">
      <c r="I347" s="13"/>
    </row>
    <row r="348" spans="9:9" ht="14.25" customHeight="1">
      <c r="I348" s="13"/>
    </row>
    <row r="349" spans="9:9" ht="14.25" customHeight="1">
      <c r="I349" s="13"/>
    </row>
    <row r="350" spans="9:9" ht="14.25" customHeight="1">
      <c r="I350" s="13"/>
    </row>
    <row r="351" spans="9:9" ht="14.25" customHeight="1">
      <c r="I351" s="13"/>
    </row>
    <row r="352" spans="9:9" ht="14.25" customHeight="1">
      <c r="I352" s="13"/>
    </row>
    <row r="353" spans="9:9" ht="14.25" customHeight="1">
      <c r="I353" s="13"/>
    </row>
    <row r="354" spans="9:9" ht="14.25" customHeight="1">
      <c r="I354" s="13"/>
    </row>
    <row r="355" spans="9:9" ht="14.25" customHeight="1">
      <c r="I355" s="13"/>
    </row>
    <row r="356" spans="9:9" ht="14.25" customHeight="1">
      <c r="I356" s="13"/>
    </row>
    <row r="357" spans="9:9" ht="14.25" customHeight="1">
      <c r="I357" s="13"/>
    </row>
    <row r="358" spans="9:9" ht="14.25" customHeight="1">
      <c r="I358" s="13"/>
    </row>
    <row r="359" spans="9:9" ht="14.25" customHeight="1">
      <c r="I359" s="13"/>
    </row>
    <row r="360" spans="9:9" ht="14.25" customHeight="1">
      <c r="I360" s="13"/>
    </row>
    <row r="361" spans="9:9" ht="14.25" customHeight="1">
      <c r="I361" s="13"/>
    </row>
    <row r="362" spans="9:9" ht="14.25" customHeight="1">
      <c r="I362" s="13"/>
    </row>
    <row r="363" spans="9:9" ht="14.25" customHeight="1">
      <c r="I363" s="13"/>
    </row>
    <row r="364" spans="9:9" ht="14.25" customHeight="1">
      <c r="I364" s="13"/>
    </row>
    <row r="365" spans="9:9" ht="14.25" customHeight="1">
      <c r="I365" s="13"/>
    </row>
    <row r="366" spans="9:9" ht="14.25" customHeight="1">
      <c r="I366" s="13"/>
    </row>
    <row r="367" spans="9:9" ht="14.25" customHeight="1">
      <c r="I367" s="13"/>
    </row>
    <row r="368" spans="9:9" ht="14.25" customHeight="1">
      <c r="I368" s="13"/>
    </row>
    <row r="369" spans="9:9" ht="14.25" customHeight="1">
      <c r="I369" s="13"/>
    </row>
    <row r="370" spans="9:9" ht="14.25" customHeight="1">
      <c r="I370" s="13"/>
    </row>
    <row r="371" spans="9:9" ht="14.25" customHeight="1">
      <c r="I371" s="13"/>
    </row>
    <row r="372" spans="9:9" ht="14.25" customHeight="1">
      <c r="I372" s="13"/>
    </row>
    <row r="373" spans="9:9" ht="14.25" customHeight="1">
      <c r="I373" s="13"/>
    </row>
    <row r="374" spans="9:9" ht="14.25" customHeight="1">
      <c r="I374" s="13"/>
    </row>
    <row r="375" spans="9:9" ht="14.25" customHeight="1">
      <c r="I375" s="13"/>
    </row>
    <row r="376" spans="9:9" ht="14.25" customHeight="1">
      <c r="I376" s="13"/>
    </row>
    <row r="377" spans="9:9" ht="14.25" customHeight="1">
      <c r="I377" s="13"/>
    </row>
    <row r="378" spans="9:9" ht="14.25" customHeight="1">
      <c r="I378" s="13"/>
    </row>
    <row r="379" spans="9:9" ht="14.25" customHeight="1">
      <c r="I379" s="13"/>
    </row>
    <row r="380" spans="9:9" ht="14.25" customHeight="1">
      <c r="I380" s="13"/>
    </row>
    <row r="381" spans="9:9" ht="14.25" customHeight="1">
      <c r="I381" s="13"/>
    </row>
    <row r="382" spans="9:9" ht="14.25" customHeight="1">
      <c r="I382" s="13"/>
    </row>
    <row r="383" spans="9:9" ht="14.25" customHeight="1">
      <c r="I383" s="13"/>
    </row>
    <row r="384" spans="9:9" ht="14.25" customHeight="1">
      <c r="I384" s="13"/>
    </row>
    <row r="385" spans="9:9" ht="14.25" customHeight="1">
      <c r="I385" s="13"/>
    </row>
    <row r="386" spans="9:9" ht="14.25" customHeight="1">
      <c r="I386" s="13"/>
    </row>
    <row r="387" spans="9:9" ht="14.25" customHeight="1">
      <c r="I387" s="13"/>
    </row>
    <row r="388" spans="9:9" ht="14.25" customHeight="1">
      <c r="I388" s="13"/>
    </row>
    <row r="389" spans="9:9" ht="14.25" customHeight="1">
      <c r="I389" s="13"/>
    </row>
    <row r="390" spans="9:9" ht="14.25" customHeight="1">
      <c r="I390" s="13"/>
    </row>
    <row r="391" spans="9:9" ht="14.25" customHeight="1">
      <c r="I391" s="13"/>
    </row>
    <row r="392" spans="9:9" ht="14.25" customHeight="1">
      <c r="I392" s="13"/>
    </row>
    <row r="393" spans="9:9" ht="14.25" customHeight="1">
      <c r="I393" s="13"/>
    </row>
    <row r="394" spans="9:9" ht="14.25" customHeight="1">
      <c r="I394" s="13"/>
    </row>
    <row r="395" spans="9:9" ht="14.25" customHeight="1">
      <c r="I395" s="13"/>
    </row>
    <row r="396" spans="9:9" ht="14.25" customHeight="1">
      <c r="I396" s="13"/>
    </row>
    <row r="397" spans="9:9" ht="14.25" customHeight="1">
      <c r="I397" s="13"/>
    </row>
    <row r="398" spans="9:9" ht="14.25" customHeight="1">
      <c r="I398" s="13"/>
    </row>
    <row r="399" spans="9:9" ht="14.25" customHeight="1">
      <c r="I399" s="13"/>
    </row>
    <row r="400" spans="9:9" ht="14.25" customHeight="1">
      <c r="I400" s="13"/>
    </row>
    <row r="401" spans="9:9" ht="14.25" customHeight="1">
      <c r="I401" s="13"/>
    </row>
    <row r="402" spans="9:9" ht="14.25" customHeight="1">
      <c r="I402" s="13"/>
    </row>
    <row r="403" spans="9:9" ht="14.25" customHeight="1">
      <c r="I403" s="13"/>
    </row>
    <row r="404" spans="9:9" ht="14.25" customHeight="1">
      <c r="I404" s="13"/>
    </row>
    <row r="405" spans="9:9" ht="14.25" customHeight="1">
      <c r="I405" s="13"/>
    </row>
    <row r="406" spans="9:9" ht="14.25" customHeight="1">
      <c r="I406" s="13"/>
    </row>
    <row r="407" spans="9:9" ht="14.25" customHeight="1">
      <c r="I407" s="13"/>
    </row>
    <row r="408" spans="9:9" ht="14.25" customHeight="1">
      <c r="I408" s="13"/>
    </row>
    <row r="409" spans="9:9" ht="14.25" customHeight="1">
      <c r="I409" s="13"/>
    </row>
    <row r="410" spans="9:9" ht="14.25" customHeight="1">
      <c r="I410" s="13"/>
    </row>
    <row r="411" spans="9:9" ht="14.25" customHeight="1">
      <c r="I411" s="13"/>
    </row>
    <row r="412" spans="9:9" ht="14.25" customHeight="1">
      <c r="I412" s="13"/>
    </row>
    <row r="413" spans="9:9" ht="14.25" customHeight="1">
      <c r="I413" s="13"/>
    </row>
    <row r="414" spans="9:9" ht="14.25" customHeight="1">
      <c r="I414" s="13"/>
    </row>
    <row r="415" spans="9:9" ht="14.25" customHeight="1">
      <c r="I415" s="13"/>
    </row>
    <row r="416" spans="9:9" ht="14.25" customHeight="1">
      <c r="I416" s="13"/>
    </row>
    <row r="417" spans="9:9" ht="14.25" customHeight="1">
      <c r="I417" s="13"/>
    </row>
    <row r="418" spans="9:9" ht="14.25" customHeight="1">
      <c r="I418" s="13"/>
    </row>
    <row r="419" spans="9:9" ht="14.25" customHeight="1">
      <c r="I419" s="13"/>
    </row>
    <row r="420" spans="9:9" ht="14.25" customHeight="1">
      <c r="I420" s="13"/>
    </row>
    <row r="421" spans="9:9" ht="14.25" customHeight="1">
      <c r="I421" s="13"/>
    </row>
    <row r="422" spans="9:9" ht="14.25" customHeight="1">
      <c r="I422" s="13"/>
    </row>
    <row r="423" spans="9:9" ht="14.25" customHeight="1">
      <c r="I423" s="13"/>
    </row>
    <row r="424" spans="9:9" ht="14.25" customHeight="1">
      <c r="I424" s="13"/>
    </row>
    <row r="425" spans="9:9" ht="14.25" customHeight="1">
      <c r="I425" s="13"/>
    </row>
    <row r="426" spans="9:9" ht="14.25" customHeight="1">
      <c r="I426" s="13"/>
    </row>
    <row r="427" spans="9:9" ht="14.25" customHeight="1">
      <c r="I427" s="13"/>
    </row>
    <row r="428" spans="9:9" ht="14.25" customHeight="1">
      <c r="I428" s="13"/>
    </row>
    <row r="429" spans="9:9" ht="14.25" customHeight="1">
      <c r="I429" s="13"/>
    </row>
    <row r="430" spans="9:9" ht="14.25" customHeight="1">
      <c r="I430" s="13"/>
    </row>
    <row r="431" spans="9:9" ht="14.25" customHeight="1">
      <c r="I431" s="13"/>
    </row>
    <row r="432" spans="9:9" ht="14.25" customHeight="1">
      <c r="I432" s="13"/>
    </row>
    <row r="433" spans="9:9" ht="14.25" customHeight="1">
      <c r="I433" s="13"/>
    </row>
    <row r="434" spans="9:9" ht="14.25" customHeight="1">
      <c r="I434" s="13"/>
    </row>
    <row r="435" spans="9:9" ht="14.25" customHeight="1">
      <c r="I435" s="13"/>
    </row>
    <row r="436" spans="9:9" ht="14.25" customHeight="1">
      <c r="I436" s="13"/>
    </row>
    <row r="437" spans="9:9" ht="14.25" customHeight="1">
      <c r="I437" s="13"/>
    </row>
    <row r="438" spans="9:9" ht="14.25" customHeight="1">
      <c r="I438" s="13"/>
    </row>
    <row r="439" spans="9:9" ht="14.25" customHeight="1">
      <c r="I439" s="13"/>
    </row>
    <row r="440" spans="9:9" ht="14.25" customHeight="1">
      <c r="I440" s="13"/>
    </row>
    <row r="441" spans="9:9" ht="14.25" customHeight="1">
      <c r="I441" s="13"/>
    </row>
    <row r="442" spans="9:9" ht="14.25" customHeight="1">
      <c r="I442" s="13"/>
    </row>
    <row r="443" spans="9:9" ht="14.25" customHeight="1">
      <c r="I443" s="13"/>
    </row>
    <row r="444" spans="9:9" ht="14.25" customHeight="1">
      <c r="I444" s="13"/>
    </row>
    <row r="445" spans="9:9" ht="14.25" customHeight="1">
      <c r="I445" s="13"/>
    </row>
    <row r="446" spans="9:9" ht="14.25" customHeight="1">
      <c r="I446" s="13"/>
    </row>
    <row r="447" spans="9:9" ht="14.25" customHeight="1">
      <c r="I447" s="13"/>
    </row>
    <row r="448" spans="9:9" ht="14.25" customHeight="1">
      <c r="I448" s="13"/>
    </row>
    <row r="449" spans="9:9" ht="14.25" customHeight="1">
      <c r="I449" s="13"/>
    </row>
    <row r="450" spans="9:9" ht="14.25" customHeight="1">
      <c r="I450" s="13"/>
    </row>
    <row r="451" spans="9:9" ht="14.25" customHeight="1">
      <c r="I451" s="13"/>
    </row>
    <row r="452" spans="9:9" ht="14.25" customHeight="1">
      <c r="I452" s="13"/>
    </row>
    <row r="453" spans="9:9" ht="14.25" customHeight="1">
      <c r="I453" s="13"/>
    </row>
    <row r="454" spans="9:9" ht="14.25" customHeight="1">
      <c r="I454" s="13"/>
    </row>
    <row r="455" spans="9:9" ht="14.25" customHeight="1">
      <c r="I455" s="13"/>
    </row>
    <row r="456" spans="9:9" ht="14.25" customHeight="1">
      <c r="I456" s="13"/>
    </row>
    <row r="457" spans="9:9" ht="14.25" customHeight="1">
      <c r="I457" s="13"/>
    </row>
    <row r="458" spans="9:9" ht="14.25" customHeight="1">
      <c r="I458" s="13"/>
    </row>
    <row r="459" spans="9:9" ht="14.25" customHeight="1">
      <c r="I459" s="13"/>
    </row>
    <row r="460" spans="9:9" ht="14.25" customHeight="1">
      <c r="I460" s="13"/>
    </row>
    <row r="461" spans="9:9" ht="14.25" customHeight="1">
      <c r="I461" s="13"/>
    </row>
    <row r="462" spans="9:9" ht="14.25" customHeight="1">
      <c r="I462" s="13"/>
    </row>
    <row r="463" spans="9:9" ht="14.25" customHeight="1">
      <c r="I463" s="13"/>
    </row>
    <row r="464" spans="9:9" ht="14.25" customHeight="1">
      <c r="I464" s="13"/>
    </row>
    <row r="465" spans="9:9" ht="14.25" customHeight="1">
      <c r="I465" s="13"/>
    </row>
    <row r="466" spans="9:9" ht="14.25" customHeight="1">
      <c r="I466" s="13"/>
    </row>
    <row r="467" spans="9:9" ht="14.25" customHeight="1">
      <c r="I467" s="13"/>
    </row>
    <row r="468" spans="9:9" ht="14.25" customHeight="1">
      <c r="I468" s="13"/>
    </row>
    <row r="469" spans="9:9" ht="14.25" customHeight="1">
      <c r="I469" s="13"/>
    </row>
    <row r="470" spans="9:9" ht="14.25" customHeight="1">
      <c r="I470" s="13"/>
    </row>
    <row r="471" spans="9:9" ht="14.25" customHeight="1">
      <c r="I471" s="13"/>
    </row>
    <row r="472" spans="9:9" ht="14.25" customHeight="1">
      <c r="I472" s="13"/>
    </row>
    <row r="473" spans="9:9" ht="14.25" customHeight="1">
      <c r="I473" s="13"/>
    </row>
    <row r="474" spans="9:9" ht="14.25" customHeight="1">
      <c r="I474" s="13"/>
    </row>
    <row r="475" spans="9:9" ht="14.25" customHeight="1">
      <c r="I475" s="13"/>
    </row>
    <row r="476" spans="9:9" ht="14.25" customHeight="1">
      <c r="I476" s="13"/>
    </row>
    <row r="477" spans="9:9" ht="14.25" customHeight="1">
      <c r="I477" s="13"/>
    </row>
    <row r="478" spans="9:9" ht="14.25" customHeight="1">
      <c r="I478" s="13"/>
    </row>
    <row r="479" spans="9:9" ht="14.25" customHeight="1">
      <c r="I479" s="13"/>
    </row>
    <row r="480" spans="9:9" ht="14.25" customHeight="1">
      <c r="I480" s="13"/>
    </row>
    <row r="481" spans="9:9" ht="14.25" customHeight="1">
      <c r="I481" s="13"/>
    </row>
    <row r="482" spans="9:9" ht="14.25" customHeight="1">
      <c r="I482" s="13"/>
    </row>
    <row r="483" spans="9:9" ht="14.25" customHeight="1">
      <c r="I483" s="13"/>
    </row>
    <row r="484" spans="9:9" ht="14.25" customHeight="1">
      <c r="I484" s="13"/>
    </row>
    <row r="485" spans="9:9" ht="14.25" customHeight="1">
      <c r="I485" s="13"/>
    </row>
    <row r="486" spans="9:9" ht="14.25" customHeight="1">
      <c r="I486" s="13"/>
    </row>
    <row r="487" spans="9:9" ht="14.25" customHeight="1">
      <c r="I487" s="13"/>
    </row>
    <row r="488" spans="9:9" ht="14.25" customHeight="1">
      <c r="I488" s="13"/>
    </row>
    <row r="489" spans="9:9" ht="14.25" customHeight="1">
      <c r="I489" s="13"/>
    </row>
    <row r="490" spans="9:9" ht="14.25" customHeight="1">
      <c r="I490" s="13"/>
    </row>
    <row r="491" spans="9:9" ht="14.25" customHeight="1">
      <c r="I491" s="13"/>
    </row>
    <row r="492" spans="9:9" ht="14.25" customHeight="1">
      <c r="I492" s="13"/>
    </row>
    <row r="493" spans="9:9" ht="14.25" customHeight="1">
      <c r="I493" s="13"/>
    </row>
    <row r="494" spans="9:9" ht="14.25" customHeight="1">
      <c r="I494" s="13"/>
    </row>
    <row r="495" spans="9:9" ht="14.25" customHeight="1">
      <c r="I495" s="13"/>
    </row>
    <row r="496" spans="9:9" ht="14.25" customHeight="1">
      <c r="I496" s="13"/>
    </row>
    <row r="497" spans="9:9" ht="14.25" customHeight="1">
      <c r="I497" s="13"/>
    </row>
    <row r="498" spans="9:9" ht="14.25" customHeight="1">
      <c r="I498" s="13"/>
    </row>
    <row r="499" spans="9:9" ht="14.25" customHeight="1">
      <c r="I499" s="13"/>
    </row>
    <row r="500" spans="9:9" ht="14.25" customHeight="1">
      <c r="I500" s="13"/>
    </row>
    <row r="501" spans="9:9" ht="14.25" customHeight="1">
      <c r="I501" s="13"/>
    </row>
    <row r="502" spans="9:9" ht="14.25" customHeight="1">
      <c r="I502" s="13"/>
    </row>
    <row r="503" spans="9:9" ht="14.25" customHeight="1">
      <c r="I503" s="13"/>
    </row>
    <row r="504" spans="9:9" ht="14.25" customHeight="1">
      <c r="I504" s="13"/>
    </row>
    <row r="505" spans="9:9" ht="14.25" customHeight="1">
      <c r="I505" s="13"/>
    </row>
    <row r="506" spans="9:9" ht="14.25" customHeight="1">
      <c r="I506" s="13"/>
    </row>
    <row r="507" spans="9:9" ht="14.25" customHeight="1">
      <c r="I507" s="13"/>
    </row>
    <row r="508" spans="9:9" ht="14.25" customHeight="1">
      <c r="I508" s="13"/>
    </row>
    <row r="509" spans="9:9" ht="14.25" customHeight="1">
      <c r="I509" s="13"/>
    </row>
    <row r="510" spans="9:9" ht="14.25" customHeight="1">
      <c r="I510" s="13"/>
    </row>
    <row r="511" spans="9:9" ht="14.25" customHeight="1">
      <c r="I511" s="13"/>
    </row>
    <row r="512" spans="9:9" ht="14.25" customHeight="1">
      <c r="I512" s="13"/>
    </row>
    <row r="513" spans="9:9" ht="14.25" customHeight="1">
      <c r="I513" s="13"/>
    </row>
    <row r="514" spans="9:9" ht="14.25" customHeight="1">
      <c r="I514" s="13"/>
    </row>
    <row r="515" spans="9:9" ht="14.25" customHeight="1">
      <c r="I515" s="13"/>
    </row>
    <row r="516" spans="9:9" ht="14.25" customHeight="1">
      <c r="I516" s="13"/>
    </row>
    <row r="517" spans="9:9" ht="14.25" customHeight="1">
      <c r="I517" s="13"/>
    </row>
    <row r="518" spans="9:9" ht="14.25" customHeight="1">
      <c r="I518" s="13"/>
    </row>
    <row r="519" spans="9:9" ht="14.25" customHeight="1">
      <c r="I519" s="13"/>
    </row>
    <row r="520" spans="9:9" ht="14.25" customHeight="1">
      <c r="I520" s="13"/>
    </row>
    <row r="521" spans="9:9" ht="14.25" customHeight="1">
      <c r="I521" s="13"/>
    </row>
    <row r="522" spans="9:9" ht="14.25" customHeight="1">
      <c r="I522" s="13"/>
    </row>
    <row r="523" spans="9:9" ht="14.25" customHeight="1">
      <c r="I523" s="13"/>
    </row>
    <row r="524" spans="9:9" ht="14.25" customHeight="1">
      <c r="I524" s="13"/>
    </row>
    <row r="525" spans="9:9" ht="14.25" customHeight="1">
      <c r="I525" s="13"/>
    </row>
    <row r="526" spans="9:9" ht="14.25" customHeight="1">
      <c r="I526" s="13"/>
    </row>
    <row r="527" spans="9:9" ht="14.25" customHeight="1">
      <c r="I527" s="13"/>
    </row>
    <row r="528" spans="9:9" ht="14.25" customHeight="1">
      <c r="I528" s="13"/>
    </row>
    <row r="529" spans="9:9" ht="14.25" customHeight="1">
      <c r="I529" s="13"/>
    </row>
    <row r="530" spans="9:9" ht="14.25" customHeight="1">
      <c r="I530" s="13"/>
    </row>
    <row r="531" spans="9:9" ht="14.25" customHeight="1">
      <c r="I531" s="13"/>
    </row>
    <row r="532" spans="9:9" ht="14.25" customHeight="1">
      <c r="I532" s="13"/>
    </row>
    <row r="533" spans="9:9" ht="14.25" customHeight="1">
      <c r="I533" s="13"/>
    </row>
    <row r="534" spans="9:9" ht="14.25" customHeight="1">
      <c r="I534" s="13"/>
    </row>
    <row r="535" spans="9:9" ht="14.25" customHeight="1">
      <c r="I535" s="13"/>
    </row>
    <row r="536" spans="9:9" ht="14.25" customHeight="1">
      <c r="I536" s="13"/>
    </row>
    <row r="537" spans="9:9" ht="14.25" customHeight="1">
      <c r="I537" s="13"/>
    </row>
    <row r="538" spans="9:9" ht="14.25" customHeight="1">
      <c r="I538" s="13"/>
    </row>
    <row r="539" spans="9:9" ht="14.25" customHeight="1">
      <c r="I539" s="13"/>
    </row>
    <row r="540" spans="9:9" ht="14.25" customHeight="1">
      <c r="I540" s="13"/>
    </row>
    <row r="541" spans="9:9" ht="14.25" customHeight="1">
      <c r="I541" s="13"/>
    </row>
    <row r="542" spans="9:9" ht="14.25" customHeight="1">
      <c r="I542" s="13"/>
    </row>
    <row r="543" spans="9:9" ht="14.25" customHeight="1">
      <c r="I543" s="13"/>
    </row>
    <row r="544" spans="9:9" ht="14.25" customHeight="1">
      <c r="I544" s="13"/>
    </row>
    <row r="545" spans="9:9" ht="14.25" customHeight="1">
      <c r="I545" s="13"/>
    </row>
    <row r="546" spans="9:9" ht="14.25" customHeight="1">
      <c r="I546" s="13"/>
    </row>
    <row r="547" spans="9:9" ht="14.25" customHeight="1">
      <c r="I547" s="13"/>
    </row>
    <row r="548" spans="9:9" ht="14.25" customHeight="1">
      <c r="I548" s="13"/>
    </row>
    <row r="549" spans="9:9" ht="14.25" customHeight="1">
      <c r="I549" s="13"/>
    </row>
    <row r="550" spans="9:9" ht="14.25" customHeight="1">
      <c r="I550" s="13"/>
    </row>
    <row r="551" spans="9:9" ht="14.25" customHeight="1">
      <c r="I551" s="13"/>
    </row>
    <row r="552" spans="9:9" ht="14.25" customHeight="1">
      <c r="I552" s="13"/>
    </row>
    <row r="553" spans="9:9" ht="14.25" customHeight="1">
      <c r="I553" s="13"/>
    </row>
    <row r="554" spans="9:9" ht="14.25" customHeight="1">
      <c r="I554" s="13"/>
    </row>
    <row r="555" spans="9:9" ht="14.25" customHeight="1">
      <c r="I555" s="13"/>
    </row>
    <row r="556" spans="9:9" ht="14.25" customHeight="1">
      <c r="I556" s="13"/>
    </row>
    <row r="557" spans="9:9" ht="14.25" customHeight="1">
      <c r="I557" s="13"/>
    </row>
    <row r="558" spans="9:9" ht="14.25" customHeight="1">
      <c r="I558" s="13"/>
    </row>
    <row r="559" spans="9:9" ht="14.25" customHeight="1">
      <c r="I559" s="13"/>
    </row>
    <row r="560" spans="9:9" ht="14.25" customHeight="1">
      <c r="I560" s="13"/>
    </row>
    <row r="561" spans="9:9" ht="14.25" customHeight="1">
      <c r="I561" s="13"/>
    </row>
    <row r="562" spans="9:9" ht="14.25" customHeight="1">
      <c r="I562" s="13"/>
    </row>
    <row r="563" spans="9:9" ht="14.25" customHeight="1">
      <c r="I563" s="13"/>
    </row>
    <row r="564" spans="9:9" ht="14.25" customHeight="1">
      <c r="I564" s="13"/>
    </row>
    <row r="565" spans="9:9" ht="14.25" customHeight="1">
      <c r="I565" s="13"/>
    </row>
    <row r="566" spans="9:9" ht="14.25" customHeight="1">
      <c r="I566" s="13"/>
    </row>
    <row r="567" spans="9:9" ht="14.25" customHeight="1">
      <c r="I567" s="13"/>
    </row>
    <row r="568" spans="9:9" ht="14.25" customHeight="1">
      <c r="I568" s="13"/>
    </row>
    <row r="569" spans="9:9" ht="14.25" customHeight="1">
      <c r="I569" s="13"/>
    </row>
    <row r="570" spans="9:9" ht="14.25" customHeight="1">
      <c r="I570" s="13"/>
    </row>
    <row r="571" spans="9:9" ht="14.25" customHeight="1">
      <c r="I571" s="13"/>
    </row>
    <row r="572" spans="9:9" ht="14.25" customHeight="1">
      <c r="I572" s="13"/>
    </row>
    <row r="573" spans="9:9" ht="14.25" customHeight="1">
      <c r="I573" s="13"/>
    </row>
    <row r="574" spans="9:9" ht="14.25" customHeight="1">
      <c r="I574" s="13"/>
    </row>
    <row r="575" spans="9:9" ht="14.25" customHeight="1">
      <c r="I575" s="13"/>
    </row>
    <row r="576" spans="9:9" ht="14.25" customHeight="1">
      <c r="I576" s="13"/>
    </row>
    <row r="577" spans="9:9" ht="14.25" customHeight="1">
      <c r="I577" s="13"/>
    </row>
    <row r="578" spans="9:9" ht="14.25" customHeight="1">
      <c r="I578" s="13"/>
    </row>
    <row r="579" spans="9:9" ht="14.25" customHeight="1">
      <c r="I579" s="13"/>
    </row>
    <row r="580" spans="9:9" ht="14.25" customHeight="1">
      <c r="I580" s="13"/>
    </row>
    <row r="581" spans="9:9" ht="14.25" customHeight="1">
      <c r="I581" s="13"/>
    </row>
    <row r="582" spans="9:9" ht="14.25" customHeight="1">
      <c r="I582" s="13"/>
    </row>
    <row r="583" spans="9:9" ht="14.25" customHeight="1">
      <c r="I583" s="13"/>
    </row>
    <row r="584" spans="9:9" ht="14.25" customHeight="1">
      <c r="I584" s="13"/>
    </row>
    <row r="585" spans="9:9" ht="14.25" customHeight="1">
      <c r="I585" s="13"/>
    </row>
    <row r="586" spans="9:9" ht="14.25" customHeight="1">
      <c r="I586" s="13"/>
    </row>
    <row r="587" spans="9:9" ht="14.25" customHeight="1">
      <c r="I587" s="13"/>
    </row>
    <row r="588" spans="9:9" ht="14.25" customHeight="1">
      <c r="I588" s="13"/>
    </row>
    <row r="589" spans="9:9" ht="14.25" customHeight="1">
      <c r="I589" s="13"/>
    </row>
    <row r="590" spans="9:9" ht="14.25" customHeight="1">
      <c r="I590" s="13"/>
    </row>
    <row r="591" spans="9:9" ht="14.25" customHeight="1">
      <c r="I591" s="13"/>
    </row>
    <row r="592" spans="9:9" ht="14.25" customHeight="1">
      <c r="I592" s="13"/>
    </row>
    <row r="593" spans="9:9" ht="14.25" customHeight="1">
      <c r="I593" s="13"/>
    </row>
    <row r="594" spans="9:9" ht="14.25" customHeight="1">
      <c r="I594" s="13"/>
    </row>
    <row r="595" spans="9:9" ht="14.25" customHeight="1">
      <c r="I595" s="13"/>
    </row>
    <row r="596" spans="9:9" ht="14.25" customHeight="1">
      <c r="I596" s="13"/>
    </row>
    <row r="597" spans="9:9" ht="14.25" customHeight="1">
      <c r="I597" s="13"/>
    </row>
    <row r="598" spans="9:9" ht="14.25" customHeight="1">
      <c r="I598" s="13"/>
    </row>
    <row r="599" spans="9:9" ht="14.25" customHeight="1">
      <c r="I599" s="13"/>
    </row>
    <row r="600" spans="9:9" ht="14.25" customHeight="1">
      <c r="I600" s="13"/>
    </row>
    <row r="601" spans="9:9" ht="14.25" customHeight="1">
      <c r="I601" s="13"/>
    </row>
    <row r="602" spans="9:9" ht="14.25" customHeight="1">
      <c r="I602" s="13"/>
    </row>
    <row r="603" spans="9:9" ht="14.25" customHeight="1">
      <c r="I603" s="13"/>
    </row>
    <row r="604" spans="9:9" ht="14.25" customHeight="1">
      <c r="I604" s="13"/>
    </row>
    <row r="605" spans="9:9" ht="14.25" customHeight="1">
      <c r="I605" s="13"/>
    </row>
    <row r="606" spans="9:9" ht="14.25" customHeight="1">
      <c r="I606" s="13"/>
    </row>
    <row r="607" spans="9:9" ht="14.25" customHeight="1">
      <c r="I607" s="13"/>
    </row>
    <row r="608" spans="9:9" ht="14.25" customHeight="1">
      <c r="I608" s="13"/>
    </row>
    <row r="609" spans="9:9" ht="14.25" customHeight="1">
      <c r="I609" s="13"/>
    </row>
    <row r="610" spans="9:9" ht="14.25" customHeight="1">
      <c r="I610" s="13"/>
    </row>
    <row r="611" spans="9:9" ht="14.25" customHeight="1">
      <c r="I611" s="13"/>
    </row>
    <row r="612" spans="9:9" ht="14.25" customHeight="1">
      <c r="I612" s="13"/>
    </row>
    <row r="613" spans="9:9" ht="14.25" customHeight="1">
      <c r="I613" s="13"/>
    </row>
    <row r="614" spans="9:9" ht="14.25" customHeight="1">
      <c r="I614" s="13"/>
    </row>
    <row r="615" spans="9:9" ht="14.25" customHeight="1">
      <c r="I615" s="13"/>
    </row>
    <row r="616" spans="9:9" ht="14.25" customHeight="1">
      <c r="I616" s="13"/>
    </row>
    <row r="617" spans="9:9" ht="14.25" customHeight="1">
      <c r="I617" s="13"/>
    </row>
    <row r="618" spans="9:9" ht="14.25" customHeight="1">
      <c r="I618" s="13"/>
    </row>
    <row r="619" spans="9:9" ht="14.25" customHeight="1">
      <c r="I619" s="13"/>
    </row>
    <row r="620" spans="9:9" ht="14.25" customHeight="1">
      <c r="I620" s="13"/>
    </row>
    <row r="621" spans="9:9" ht="14.25" customHeight="1">
      <c r="I621" s="13"/>
    </row>
    <row r="622" spans="9:9" ht="14.25" customHeight="1">
      <c r="I622" s="13"/>
    </row>
    <row r="623" spans="9:9" ht="14.25" customHeight="1">
      <c r="I623" s="13"/>
    </row>
    <row r="624" spans="9:9" ht="14.25" customHeight="1">
      <c r="I624" s="13"/>
    </row>
    <row r="625" spans="9:9" ht="14.25" customHeight="1">
      <c r="I625" s="13"/>
    </row>
    <row r="626" spans="9:9" ht="14.25" customHeight="1">
      <c r="I626" s="13"/>
    </row>
    <row r="627" spans="9:9" ht="14.25" customHeight="1">
      <c r="I627" s="13"/>
    </row>
    <row r="628" spans="9:9" ht="14.25" customHeight="1">
      <c r="I628" s="13"/>
    </row>
    <row r="629" spans="9:9" ht="14.25" customHeight="1">
      <c r="I629" s="13"/>
    </row>
    <row r="630" spans="9:9" ht="14.25" customHeight="1">
      <c r="I630" s="13"/>
    </row>
    <row r="631" spans="9:9" ht="14.25" customHeight="1">
      <c r="I631" s="13"/>
    </row>
    <row r="632" spans="9:9" ht="14.25" customHeight="1">
      <c r="I632" s="13"/>
    </row>
    <row r="633" spans="9:9" ht="14.25" customHeight="1">
      <c r="I633" s="13"/>
    </row>
    <row r="634" spans="9:9" ht="14.25" customHeight="1">
      <c r="I634" s="13"/>
    </row>
    <row r="635" spans="9:9" ht="14.25" customHeight="1">
      <c r="I635" s="13"/>
    </row>
    <row r="636" spans="9:9" ht="14.25" customHeight="1">
      <c r="I636" s="13"/>
    </row>
    <row r="637" spans="9:9" ht="14.25" customHeight="1">
      <c r="I637" s="13"/>
    </row>
    <row r="638" spans="9:9" ht="14.25" customHeight="1">
      <c r="I638" s="13"/>
    </row>
    <row r="639" spans="9:9" ht="14.25" customHeight="1">
      <c r="I639" s="13"/>
    </row>
    <row r="640" spans="9:9" ht="14.25" customHeight="1">
      <c r="I640" s="13"/>
    </row>
    <row r="641" spans="9:9" ht="14.25" customHeight="1">
      <c r="I641" s="13"/>
    </row>
    <row r="642" spans="9:9" ht="14.25" customHeight="1">
      <c r="I642" s="13"/>
    </row>
    <row r="643" spans="9:9" ht="14.25" customHeight="1">
      <c r="I643" s="13"/>
    </row>
    <row r="644" spans="9:9" ht="14.25" customHeight="1">
      <c r="I644" s="13"/>
    </row>
    <row r="645" spans="9:9" ht="14.25" customHeight="1">
      <c r="I645" s="13"/>
    </row>
    <row r="646" spans="9:9" ht="14.25" customHeight="1">
      <c r="I646" s="13"/>
    </row>
    <row r="647" spans="9:9" ht="14.25" customHeight="1">
      <c r="I647" s="13"/>
    </row>
    <row r="648" spans="9:9" ht="14.25" customHeight="1">
      <c r="I648" s="13"/>
    </row>
    <row r="649" spans="9:9" ht="14.25" customHeight="1">
      <c r="I649" s="13"/>
    </row>
    <row r="650" spans="9:9" ht="14.25" customHeight="1">
      <c r="I650" s="13"/>
    </row>
    <row r="651" spans="9:9" ht="14.25" customHeight="1">
      <c r="I651" s="13"/>
    </row>
    <row r="652" spans="9:9" ht="14.25" customHeight="1">
      <c r="I652" s="13"/>
    </row>
    <row r="653" spans="9:9" ht="14.25" customHeight="1">
      <c r="I653" s="13"/>
    </row>
    <row r="654" spans="9:9" ht="14.25" customHeight="1">
      <c r="I654" s="13"/>
    </row>
    <row r="655" spans="9:9" ht="14.25" customHeight="1">
      <c r="I655" s="13"/>
    </row>
    <row r="656" spans="9:9" ht="14.25" customHeight="1">
      <c r="I656" s="13"/>
    </row>
    <row r="657" spans="9:9" ht="14.25" customHeight="1">
      <c r="I657" s="13"/>
    </row>
    <row r="658" spans="9:9" ht="14.25" customHeight="1">
      <c r="I658" s="13"/>
    </row>
    <row r="659" spans="9:9" ht="14.25" customHeight="1">
      <c r="I659" s="13"/>
    </row>
    <row r="660" spans="9:9" ht="14.25" customHeight="1">
      <c r="I660" s="13"/>
    </row>
    <row r="661" spans="9:9" ht="14.25" customHeight="1">
      <c r="I661" s="13"/>
    </row>
    <row r="662" spans="9:9" ht="14.25" customHeight="1">
      <c r="I662" s="13"/>
    </row>
    <row r="663" spans="9:9" ht="14.25" customHeight="1">
      <c r="I663" s="13"/>
    </row>
    <row r="664" spans="9:9" ht="14.25" customHeight="1">
      <c r="I664" s="13"/>
    </row>
    <row r="665" spans="9:9" ht="14.25" customHeight="1">
      <c r="I665" s="13"/>
    </row>
    <row r="666" spans="9:9" ht="14.25" customHeight="1">
      <c r="I666" s="13"/>
    </row>
    <row r="667" spans="9:9" ht="14.25" customHeight="1">
      <c r="I667" s="13"/>
    </row>
    <row r="668" spans="9:9" ht="14.25" customHeight="1">
      <c r="I668" s="13"/>
    </row>
    <row r="669" spans="9:9" ht="14.25" customHeight="1">
      <c r="I669" s="13"/>
    </row>
    <row r="670" spans="9:9" ht="14.25" customHeight="1">
      <c r="I670" s="13"/>
    </row>
    <row r="671" spans="9:9" ht="14.25" customHeight="1">
      <c r="I671" s="13"/>
    </row>
    <row r="672" spans="9:9" ht="14.25" customHeight="1">
      <c r="I672" s="13"/>
    </row>
    <row r="673" spans="9:9" ht="14.25" customHeight="1">
      <c r="I673" s="13"/>
    </row>
    <row r="674" spans="9:9" ht="14.25" customHeight="1">
      <c r="I674" s="13"/>
    </row>
    <row r="675" spans="9:9" ht="14.25" customHeight="1">
      <c r="I675" s="13"/>
    </row>
    <row r="676" spans="9:9" ht="14.25" customHeight="1">
      <c r="I676" s="13"/>
    </row>
    <row r="677" spans="9:9" ht="14.25" customHeight="1">
      <c r="I677" s="13"/>
    </row>
    <row r="678" spans="9:9" ht="14.25" customHeight="1">
      <c r="I678" s="13"/>
    </row>
    <row r="679" spans="9:9" ht="14.25" customHeight="1">
      <c r="I679" s="13"/>
    </row>
    <row r="680" spans="9:9" ht="14.25" customHeight="1">
      <c r="I680" s="13"/>
    </row>
    <row r="681" spans="9:9" ht="14.25" customHeight="1">
      <c r="I681" s="13"/>
    </row>
    <row r="682" spans="9:9" ht="14.25" customHeight="1">
      <c r="I682" s="13"/>
    </row>
    <row r="683" spans="9:9" ht="14.25" customHeight="1">
      <c r="I683" s="13"/>
    </row>
    <row r="684" spans="9:9" ht="14.25" customHeight="1">
      <c r="I684" s="13"/>
    </row>
    <row r="685" spans="9:9" ht="14.25" customHeight="1">
      <c r="I685" s="13"/>
    </row>
    <row r="686" spans="9:9" ht="14.25" customHeight="1">
      <c r="I686" s="13"/>
    </row>
    <row r="687" spans="9:9" ht="14.25" customHeight="1">
      <c r="I687" s="13"/>
    </row>
    <row r="688" spans="9:9" ht="14.25" customHeight="1">
      <c r="I688" s="13"/>
    </row>
    <row r="689" spans="9:9" ht="14.25" customHeight="1">
      <c r="I689" s="13"/>
    </row>
    <row r="690" spans="9:9" ht="14.25" customHeight="1">
      <c r="I690" s="13"/>
    </row>
    <row r="691" spans="9:9" ht="14.25" customHeight="1">
      <c r="I691" s="13"/>
    </row>
    <row r="692" spans="9:9" ht="14.25" customHeight="1">
      <c r="I692" s="13"/>
    </row>
    <row r="693" spans="9:9" ht="14.25" customHeight="1">
      <c r="I693" s="13"/>
    </row>
    <row r="694" spans="9:9" ht="14.25" customHeight="1">
      <c r="I694" s="13"/>
    </row>
    <row r="695" spans="9:9" ht="14.25" customHeight="1">
      <c r="I695" s="13"/>
    </row>
    <row r="696" spans="9:9" ht="14.25" customHeight="1">
      <c r="I696" s="13"/>
    </row>
    <row r="697" spans="9:9" ht="14.25" customHeight="1">
      <c r="I697" s="13"/>
    </row>
    <row r="698" spans="9:9" ht="14.25" customHeight="1">
      <c r="I698" s="13"/>
    </row>
    <row r="699" spans="9:9" ht="14.25" customHeight="1">
      <c r="I699" s="13"/>
    </row>
    <row r="700" spans="9:9" ht="14.25" customHeight="1">
      <c r="I700" s="13"/>
    </row>
    <row r="701" spans="9:9" ht="14.25" customHeight="1">
      <c r="I701" s="13"/>
    </row>
    <row r="702" spans="9:9" ht="14.25" customHeight="1">
      <c r="I702" s="13"/>
    </row>
    <row r="703" spans="9:9" ht="14.25" customHeight="1">
      <c r="I703" s="13"/>
    </row>
    <row r="704" spans="9:9" ht="14.25" customHeight="1">
      <c r="I704" s="13"/>
    </row>
    <row r="705" spans="9:9" ht="14.25" customHeight="1">
      <c r="I705" s="13"/>
    </row>
    <row r="706" spans="9:9" ht="14.25" customHeight="1">
      <c r="I706" s="13"/>
    </row>
    <row r="707" spans="9:9" ht="14.25" customHeight="1">
      <c r="I707" s="13"/>
    </row>
    <row r="708" spans="9:9" ht="14.25" customHeight="1">
      <c r="I708" s="13"/>
    </row>
    <row r="709" spans="9:9" ht="14.25" customHeight="1">
      <c r="I709" s="13"/>
    </row>
    <row r="710" spans="9:9" ht="14.25" customHeight="1">
      <c r="I710" s="13"/>
    </row>
    <row r="711" spans="9:9" ht="14.25" customHeight="1">
      <c r="I711" s="13"/>
    </row>
    <row r="712" spans="9:9" ht="14.25" customHeight="1">
      <c r="I712" s="13"/>
    </row>
    <row r="713" spans="9:9" ht="14.25" customHeight="1">
      <c r="I713" s="13"/>
    </row>
    <row r="714" spans="9:9" ht="14.25" customHeight="1">
      <c r="I714" s="13"/>
    </row>
    <row r="715" spans="9:9" ht="14.25" customHeight="1">
      <c r="I715" s="13"/>
    </row>
    <row r="716" spans="9:9" ht="14.25" customHeight="1">
      <c r="I716" s="13"/>
    </row>
    <row r="717" spans="9:9" ht="14.25" customHeight="1">
      <c r="I717" s="13"/>
    </row>
    <row r="718" spans="9:9" ht="14.25" customHeight="1">
      <c r="I718" s="13"/>
    </row>
    <row r="719" spans="9:9" ht="14.25" customHeight="1">
      <c r="I719" s="13"/>
    </row>
    <row r="720" spans="9:9" ht="14.25" customHeight="1">
      <c r="I720" s="13"/>
    </row>
    <row r="721" spans="9:9" ht="14.25" customHeight="1">
      <c r="I721" s="13"/>
    </row>
    <row r="722" spans="9:9" ht="14.25" customHeight="1">
      <c r="I722" s="13"/>
    </row>
    <row r="723" spans="9:9" ht="14.25" customHeight="1">
      <c r="I723" s="13"/>
    </row>
    <row r="724" spans="9:9" ht="14.25" customHeight="1">
      <c r="I724" s="13"/>
    </row>
    <row r="725" spans="9:9" ht="14.25" customHeight="1">
      <c r="I725" s="13"/>
    </row>
    <row r="726" spans="9:9" ht="14.25" customHeight="1">
      <c r="I726" s="13"/>
    </row>
    <row r="727" spans="9:9" ht="14.25" customHeight="1">
      <c r="I727" s="13"/>
    </row>
    <row r="728" spans="9:9" ht="14.25" customHeight="1">
      <c r="I728" s="13"/>
    </row>
    <row r="729" spans="9:9" ht="14.25" customHeight="1">
      <c r="I729" s="13"/>
    </row>
    <row r="730" spans="9:9" ht="14.25" customHeight="1">
      <c r="I730" s="13"/>
    </row>
    <row r="731" spans="9:9" ht="14.25" customHeight="1">
      <c r="I731" s="13"/>
    </row>
    <row r="732" spans="9:9" ht="14.25" customHeight="1">
      <c r="I732" s="13"/>
    </row>
    <row r="733" spans="9:9" ht="14.25" customHeight="1">
      <c r="I733" s="13"/>
    </row>
    <row r="734" spans="9:9" ht="14.25" customHeight="1">
      <c r="I734" s="13"/>
    </row>
    <row r="735" spans="9:9" ht="14.25" customHeight="1">
      <c r="I735" s="13"/>
    </row>
    <row r="736" spans="9:9" ht="14.25" customHeight="1">
      <c r="I736" s="13"/>
    </row>
    <row r="737" spans="9:9" ht="14.25" customHeight="1">
      <c r="I737" s="13"/>
    </row>
    <row r="738" spans="9:9" ht="14.25" customHeight="1">
      <c r="I738" s="13"/>
    </row>
    <row r="739" spans="9:9" ht="14.25" customHeight="1">
      <c r="I739" s="13"/>
    </row>
    <row r="740" spans="9:9" ht="14.25" customHeight="1">
      <c r="I740" s="13"/>
    </row>
    <row r="741" spans="9:9" ht="14.25" customHeight="1">
      <c r="I741" s="13"/>
    </row>
    <row r="742" spans="9:9" ht="14.25" customHeight="1">
      <c r="I742" s="13"/>
    </row>
    <row r="743" spans="9:9" ht="14.25" customHeight="1">
      <c r="I743" s="13"/>
    </row>
    <row r="744" spans="9:9" ht="14.25" customHeight="1">
      <c r="I744" s="13"/>
    </row>
    <row r="745" spans="9:9" ht="14.25" customHeight="1">
      <c r="I745" s="13"/>
    </row>
    <row r="746" spans="9:9" ht="14.25" customHeight="1">
      <c r="I746" s="13"/>
    </row>
    <row r="747" spans="9:9" ht="14.25" customHeight="1">
      <c r="I747" s="13"/>
    </row>
    <row r="748" spans="9:9" ht="14.25" customHeight="1">
      <c r="I748" s="13"/>
    </row>
    <row r="749" spans="9:9" ht="14.25" customHeight="1">
      <c r="I749" s="13"/>
    </row>
    <row r="750" spans="9:9" ht="14.25" customHeight="1">
      <c r="I750" s="13"/>
    </row>
    <row r="751" spans="9:9" ht="14.25" customHeight="1">
      <c r="I751" s="13"/>
    </row>
    <row r="752" spans="9:9" ht="14.25" customHeight="1">
      <c r="I752" s="13"/>
    </row>
    <row r="753" spans="9:9" ht="14.25" customHeight="1">
      <c r="I753" s="13"/>
    </row>
    <row r="754" spans="9:9" ht="14.25" customHeight="1">
      <c r="I754" s="13"/>
    </row>
    <row r="755" spans="9:9" ht="14.25" customHeight="1">
      <c r="I755" s="13"/>
    </row>
    <row r="756" spans="9:9" ht="14.25" customHeight="1">
      <c r="I756" s="13"/>
    </row>
    <row r="757" spans="9:9" ht="14.25" customHeight="1">
      <c r="I757" s="13"/>
    </row>
    <row r="758" spans="9:9" ht="14.25" customHeight="1">
      <c r="I758" s="13"/>
    </row>
    <row r="759" spans="9:9" ht="14.25" customHeight="1">
      <c r="I759" s="13"/>
    </row>
    <row r="760" spans="9:9" ht="14.25" customHeight="1">
      <c r="I760" s="13"/>
    </row>
    <row r="761" spans="9:9" ht="14.25" customHeight="1">
      <c r="I761" s="13"/>
    </row>
    <row r="762" spans="9:9" ht="14.25" customHeight="1">
      <c r="I762" s="13"/>
    </row>
    <row r="763" spans="9:9" ht="14.25" customHeight="1">
      <c r="I763" s="13"/>
    </row>
    <row r="764" spans="9:9" ht="14.25" customHeight="1">
      <c r="I764" s="13"/>
    </row>
    <row r="765" spans="9:9" ht="14.25" customHeight="1">
      <c r="I765" s="13"/>
    </row>
    <row r="766" spans="9:9" ht="14.25" customHeight="1">
      <c r="I766" s="13"/>
    </row>
    <row r="767" spans="9:9" ht="14.25" customHeight="1">
      <c r="I767" s="13"/>
    </row>
    <row r="768" spans="9:9" ht="14.25" customHeight="1">
      <c r="I768" s="13"/>
    </row>
    <row r="769" spans="9:9" ht="14.25" customHeight="1">
      <c r="I769" s="13"/>
    </row>
    <row r="770" spans="9:9" ht="14.25" customHeight="1">
      <c r="I770" s="13"/>
    </row>
    <row r="771" spans="9:9" ht="14.25" customHeight="1">
      <c r="I771" s="13"/>
    </row>
    <row r="772" spans="9:9" ht="14.25" customHeight="1">
      <c r="I772" s="13"/>
    </row>
    <row r="773" spans="9:9" ht="14.25" customHeight="1">
      <c r="I773" s="13"/>
    </row>
    <row r="774" spans="9:9" ht="14.25" customHeight="1">
      <c r="I774" s="13"/>
    </row>
    <row r="775" spans="9:9" ht="14.25" customHeight="1">
      <c r="I775" s="13"/>
    </row>
    <row r="776" spans="9:9" ht="14.25" customHeight="1">
      <c r="I776" s="13"/>
    </row>
    <row r="777" spans="9:9" ht="14.25" customHeight="1">
      <c r="I777" s="13"/>
    </row>
    <row r="778" spans="9:9" ht="14.25" customHeight="1">
      <c r="I778" s="13"/>
    </row>
    <row r="779" spans="9:9" ht="14.25" customHeight="1">
      <c r="I779" s="13"/>
    </row>
    <row r="780" spans="9:9" ht="14.25" customHeight="1">
      <c r="I780" s="13"/>
    </row>
    <row r="781" spans="9:9" ht="14.25" customHeight="1">
      <c r="I781" s="13"/>
    </row>
    <row r="782" spans="9:9" ht="14.25" customHeight="1">
      <c r="I782" s="13"/>
    </row>
    <row r="783" spans="9:9" ht="14.25" customHeight="1">
      <c r="I783" s="13"/>
    </row>
    <row r="784" spans="9:9" ht="14.25" customHeight="1">
      <c r="I784" s="13"/>
    </row>
    <row r="785" spans="9:9" ht="14.25" customHeight="1">
      <c r="I785" s="13"/>
    </row>
    <row r="786" spans="9:9" ht="14.25" customHeight="1">
      <c r="I786" s="13"/>
    </row>
    <row r="787" spans="9:9" ht="14.25" customHeight="1">
      <c r="I787" s="13"/>
    </row>
    <row r="788" spans="9:9" ht="14.25" customHeight="1">
      <c r="I788" s="13"/>
    </row>
    <row r="789" spans="9:9" ht="14.25" customHeight="1">
      <c r="I789" s="13"/>
    </row>
    <row r="790" spans="9:9" ht="14.25" customHeight="1">
      <c r="I790" s="13"/>
    </row>
    <row r="791" spans="9:9" ht="14.25" customHeight="1">
      <c r="I791" s="13"/>
    </row>
    <row r="792" spans="9:9" ht="14.25" customHeight="1">
      <c r="I792" s="13"/>
    </row>
    <row r="793" spans="9:9" ht="14.25" customHeight="1">
      <c r="I793" s="13"/>
    </row>
    <row r="794" spans="9:9" ht="14.25" customHeight="1">
      <c r="I794" s="13"/>
    </row>
    <row r="795" spans="9:9" ht="14.25" customHeight="1">
      <c r="I795" s="13"/>
    </row>
    <row r="796" spans="9:9" ht="14.25" customHeight="1">
      <c r="I796" s="13"/>
    </row>
    <row r="797" spans="9:9" ht="14.25" customHeight="1">
      <c r="I797" s="13"/>
    </row>
    <row r="798" spans="9:9" ht="14.25" customHeight="1">
      <c r="I798" s="13"/>
    </row>
    <row r="799" spans="9:9" ht="14.25" customHeight="1">
      <c r="I799" s="13"/>
    </row>
    <row r="800" spans="9:9" ht="14.25" customHeight="1">
      <c r="I800" s="13"/>
    </row>
    <row r="801" spans="9:9" ht="14.25" customHeight="1">
      <c r="I801" s="13"/>
    </row>
    <row r="802" spans="9:9" ht="14.25" customHeight="1">
      <c r="I802" s="13"/>
    </row>
    <row r="803" spans="9:9" ht="14.25" customHeight="1">
      <c r="I803" s="13"/>
    </row>
    <row r="804" spans="9:9" ht="14.25" customHeight="1">
      <c r="I804" s="13"/>
    </row>
    <row r="805" spans="9:9" ht="14.25" customHeight="1">
      <c r="I805" s="13"/>
    </row>
    <row r="806" spans="9:9" ht="14.25" customHeight="1">
      <c r="I806" s="13"/>
    </row>
    <row r="807" spans="9:9" ht="14.25" customHeight="1">
      <c r="I807" s="13"/>
    </row>
    <row r="808" spans="9:9" ht="14.25" customHeight="1">
      <c r="I808" s="13"/>
    </row>
    <row r="809" spans="9:9" ht="14.25" customHeight="1">
      <c r="I809" s="13"/>
    </row>
    <row r="810" spans="9:9" ht="14.25" customHeight="1">
      <c r="I810" s="13"/>
    </row>
    <row r="811" spans="9:9" ht="14.25" customHeight="1">
      <c r="I811" s="13"/>
    </row>
    <row r="812" spans="9:9" ht="14.25" customHeight="1">
      <c r="I812" s="13"/>
    </row>
    <row r="813" spans="9:9" ht="14.25" customHeight="1">
      <c r="I813" s="13"/>
    </row>
    <row r="814" spans="9:9" ht="14.25" customHeight="1">
      <c r="I814" s="13"/>
    </row>
    <row r="815" spans="9:9" ht="14.25" customHeight="1">
      <c r="I815" s="13"/>
    </row>
    <row r="816" spans="9:9" ht="14.25" customHeight="1">
      <c r="I816" s="13"/>
    </row>
    <row r="817" spans="9:9" ht="14.25" customHeight="1">
      <c r="I817" s="13"/>
    </row>
    <row r="818" spans="9:9" ht="14.25" customHeight="1">
      <c r="I818" s="13"/>
    </row>
    <row r="819" spans="9:9" ht="14.25" customHeight="1">
      <c r="I819" s="13"/>
    </row>
    <row r="820" spans="9:9" ht="14.25" customHeight="1">
      <c r="I820" s="13"/>
    </row>
    <row r="821" spans="9:9" ht="14.25" customHeight="1">
      <c r="I821" s="13"/>
    </row>
    <row r="822" spans="9:9" ht="14.25" customHeight="1">
      <c r="I822" s="13"/>
    </row>
    <row r="823" spans="9:9" ht="14.25" customHeight="1">
      <c r="I823" s="13"/>
    </row>
    <row r="824" spans="9:9" ht="14.25" customHeight="1">
      <c r="I824" s="13"/>
    </row>
    <row r="825" spans="9:9" ht="14.25" customHeight="1">
      <c r="I825" s="13"/>
    </row>
    <row r="826" spans="9:9" ht="14.25" customHeight="1">
      <c r="I826" s="13"/>
    </row>
    <row r="827" spans="9:9" ht="14.25" customHeight="1">
      <c r="I827" s="13"/>
    </row>
    <row r="828" spans="9:9" ht="14.25" customHeight="1">
      <c r="I828" s="13"/>
    </row>
    <row r="829" spans="9:9" ht="14.25" customHeight="1">
      <c r="I829" s="13"/>
    </row>
    <row r="830" spans="9:9" ht="14.25" customHeight="1">
      <c r="I830" s="13"/>
    </row>
    <row r="831" spans="9:9" ht="14.25" customHeight="1">
      <c r="I831" s="13"/>
    </row>
    <row r="832" spans="9:9" ht="14.25" customHeight="1">
      <c r="I832" s="13"/>
    </row>
    <row r="833" spans="9:9" ht="14.25" customHeight="1">
      <c r="I833" s="13"/>
    </row>
    <row r="834" spans="9:9" ht="14.25" customHeight="1">
      <c r="I834" s="13"/>
    </row>
    <row r="835" spans="9:9" ht="14.25" customHeight="1">
      <c r="I835" s="13"/>
    </row>
    <row r="836" spans="9:9" ht="14.25" customHeight="1">
      <c r="I836" s="13"/>
    </row>
    <row r="837" spans="9:9" ht="14.25" customHeight="1">
      <c r="I837" s="13"/>
    </row>
    <row r="838" spans="9:9" ht="14.25" customHeight="1">
      <c r="I838" s="13"/>
    </row>
    <row r="839" spans="9:9" ht="14.25" customHeight="1">
      <c r="I839" s="13"/>
    </row>
    <row r="840" spans="9:9" ht="14.25" customHeight="1">
      <c r="I840" s="13"/>
    </row>
    <row r="841" spans="9:9" ht="14.25" customHeight="1">
      <c r="I841" s="13"/>
    </row>
    <row r="842" spans="9:9" ht="14.25" customHeight="1">
      <c r="I842" s="13"/>
    </row>
    <row r="843" spans="9:9" ht="14.25" customHeight="1">
      <c r="I843" s="13"/>
    </row>
    <row r="844" spans="9:9" ht="14.25" customHeight="1">
      <c r="I844" s="13"/>
    </row>
    <row r="845" spans="9:9" ht="14.25" customHeight="1">
      <c r="I845" s="13"/>
    </row>
    <row r="846" spans="9:9" ht="14.25" customHeight="1">
      <c r="I846" s="13"/>
    </row>
    <row r="847" spans="9:9" ht="14.25" customHeight="1">
      <c r="I847" s="13"/>
    </row>
    <row r="848" spans="9:9" ht="14.25" customHeight="1">
      <c r="I848" s="13"/>
    </row>
    <row r="849" spans="9:9" ht="14.25" customHeight="1">
      <c r="I849" s="13"/>
    </row>
    <row r="850" spans="9:9" ht="14.25" customHeight="1">
      <c r="I850" s="13"/>
    </row>
    <row r="851" spans="9:9" ht="14.25" customHeight="1">
      <c r="I851" s="13"/>
    </row>
    <row r="852" spans="9:9" ht="14.25" customHeight="1">
      <c r="I852" s="13"/>
    </row>
    <row r="853" spans="9:9" ht="14.25" customHeight="1">
      <c r="I853" s="13"/>
    </row>
    <row r="854" spans="9:9" ht="14.25" customHeight="1">
      <c r="I854" s="13"/>
    </row>
    <row r="855" spans="9:9" ht="14.25" customHeight="1">
      <c r="I855" s="13"/>
    </row>
    <row r="856" spans="9:9" ht="14.25" customHeight="1">
      <c r="I856" s="13"/>
    </row>
    <row r="857" spans="9:9" ht="14.25" customHeight="1">
      <c r="I857" s="13"/>
    </row>
    <row r="858" spans="9:9" ht="14.25" customHeight="1">
      <c r="I858" s="13"/>
    </row>
    <row r="859" spans="9:9" ht="14.25" customHeight="1">
      <c r="I859" s="13"/>
    </row>
    <row r="860" spans="9:9" ht="14.25" customHeight="1">
      <c r="I860" s="13"/>
    </row>
    <row r="861" spans="9:9" ht="14.25" customHeight="1">
      <c r="I861" s="13"/>
    </row>
    <row r="862" spans="9:9" ht="14.25" customHeight="1">
      <c r="I862" s="13"/>
    </row>
    <row r="863" spans="9:9" ht="14.25" customHeight="1">
      <c r="I863" s="13"/>
    </row>
    <row r="864" spans="9:9" ht="14.25" customHeight="1">
      <c r="I864" s="13"/>
    </row>
    <row r="865" spans="9:9" ht="14.25" customHeight="1">
      <c r="I865" s="13"/>
    </row>
    <row r="866" spans="9:9" ht="14.25" customHeight="1">
      <c r="I866" s="13"/>
    </row>
    <row r="867" spans="9:9" ht="14.25" customHeight="1">
      <c r="I867" s="13"/>
    </row>
    <row r="868" spans="9:9" ht="14.25" customHeight="1">
      <c r="I868" s="13"/>
    </row>
    <row r="869" spans="9:9" ht="14.25" customHeight="1">
      <c r="I869" s="13"/>
    </row>
    <row r="870" spans="9:9" ht="14.25" customHeight="1">
      <c r="I870" s="13"/>
    </row>
    <row r="871" spans="9:9" ht="14.25" customHeight="1">
      <c r="I871" s="13"/>
    </row>
    <row r="872" spans="9:9" ht="14.25" customHeight="1">
      <c r="I872" s="13"/>
    </row>
    <row r="873" spans="9:9" ht="14.25" customHeight="1">
      <c r="I873" s="13"/>
    </row>
    <row r="874" spans="9:9" ht="14.25" customHeight="1">
      <c r="I874" s="13"/>
    </row>
    <row r="875" spans="9:9" ht="14.25" customHeight="1">
      <c r="I875" s="13"/>
    </row>
    <row r="876" spans="9:9" ht="14.25" customHeight="1">
      <c r="I876" s="13"/>
    </row>
    <row r="877" spans="9:9" ht="14.25" customHeight="1">
      <c r="I877" s="13"/>
    </row>
    <row r="878" spans="9:9" ht="14.25" customHeight="1">
      <c r="I878" s="13"/>
    </row>
    <row r="879" spans="9:9" ht="14.25" customHeight="1">
      <c r="I879" s="13"/>
    </row>
    <row r="880" spans="9:9" ht="14.25" customHeight="1">
      <c r="I880" s="13"/>
    </row>
    <row r="881" spans="9:9" ht="14.25" customHeight="1">
      <c r="I881" s="13"/>
    </row>
    <row r="882" spans="9:9" ht="14.25" customHeight="1">
      <c r="I882" s="13"/>
    </row>
    <row r="883" spans="9:9" ht="14.25" customHeight="1">
      <c r="I883" s="13"/>
    </row>
    <row r="884" spans="9:9" ht="14.25" customHeight="1">
      <c r="I884" s="13"/>
    </row>
    <row r="885" spans="9:9" ht="14.25" customHeight="1">
      <c r="I885" s="13"/>
    </row>
    <row r="886" spans="9:9" ht="14.25" customHeight="1">
      <c r="I886" s="13"/>
    </row>
    <row r="887" spans="9:9" ht="14.25" customHeight="1">
      <c r="I887" s="13"/>
    </row>
    <row r="888" spans="9:9" ht="14.25" customHeight="1">
      <c r="I888" s="13"/>
    </row>
    <row r="889" spans="9:9" ht="14.25" customHeight="1">
      <c r="I889" s="13"/>
    </row>
    <row r="890" spans="9:9" ht="14.25" customHeight="1">
      <c r="I890" s="13"/>
    </row>
    <row r="891" spans="9:9" ht="14.25" customHeight="1">
      <c r="I891" s="13"/>
    </row>
    <row r="892" spans="9:9" ht="14.25" customHeight="1">
      <c r="I892" s="13"/>
    </row>
    <row r="893" spans="9:9" ht="14.25" customHeight="1">
      <c r="I893" s="13"/>
    </row>
    <row r="894" spans="9:9" ht="14.25" customHeight="1">
      <c r="I894" s="13"/>
    </row>
    <row r="895" spans="9:9" ht="14.25" customHeight="1">
      <c r="I895" s="13"/>
    </row>
    <row r="896" spans="9:9" ht="14.25" customHeight="1">
      <c r="I896" s="13"/>
    </row>
    <row r="897" spans="9:9" ht="14.25" customHeight="1">
      <c r="I897" s="13"/>
    </row>
    <row r="898" spans="9:9" ht="14.25" customHeight="1">
      <c r="I898" s="13"/>
    </row>
    <row r="899" spans="9:9" ht="14.25" customHeight="1">
      <c r="I899" s="13"/>
    </row>
    <row r="900" spans="9:9" ht="14.25" customHeight="1">
      <c r="I900" s="13"/>
    </row>
    <row r="901" spans="9:9" ht="14.25" customHeight="1">
      <c r="I901" s="13"/>
    </row>
    <row r="902" spans="9:9" ht="14.25" customHeight="1">
      <c r="I902" s="13"/>
    </row>
    <row r="903" spans="9:9" ht="14.25" customHeight="1">
      <c r="I903" s="13"/>
    </row>
    <row r="904" spans="9:9" ht="14.25" customHeight="1">
      <c r="I904" s="13"/>
    </row>
    <row r="905" spans="9:9" ht="14.25" customHeight="1">
      <c r="I905" s="13"/>
    </row>
    <row r="906" spans="9:9" ht="14.25" customHeight="1">
      <c r="I906" s="13"/>
    </row>
    <row r="907" spans="9:9" ht="14.25" customHeight="1">
      <c r="I907" s="13"/>
    </row>
    <row r="908" spans="9:9" ht="14.25" customHeight="1">
      <c r="I908" s="13"/>
    </row>
    <row r="909" spans="9:9" ht="14.25" customHeight="1">
      <c r="I909" s="13"/>
    </row>
    <row r="910" spans="9:9" ht="14.25" customHeight="1">
      <c r="I910" s="13"/>
    </row>
    <row r="911" spans="9:9" ht="14.25" customHeight="1">
      <c r="I911" s="13"/>
    </row>
    <row r="912" spans="9:9" ht="14.25" customHeight="1">
      <c r="I912" s="13"/>
    </row>
    <row r="913" spans="9:9" ht="14.25" customHeight="1">
      <c r="I913" s="13"/>
    </row>
    <row r="914" spans="9:9" ht="14.25" customHeight="1">
      <c r="I914" s="13"/>
    </row>
    <row r="915" spans="9:9" ht="14.25" customHeight="1">
      <c r="I915" s="13"/>
    </row>
    <row r="916" spans="9:9" ht="14.25" customHeight="1">
      <c r="I916" s="13"/>
    </row>
    <row r="917" spans="9:9" ht="14.25" customHeight="1">
      <c r="I917" s="13"/>
    </row>
    <row r="918" spans="9:9" ht="14.25" customHeight="1">
      <c r="I918" s="13"/>
    </row>
    <row r="919" spans="9:9" ht="14.25" customHeight="1">
      <c r="I919" s="13"/>
    </row>
    <row r="920" spans="9:9" ht="14.25" customHeight="1">
      <c r="I920" s="13"/>
    </row>
    <row r="921" spans="9:9" ht="14.25" customHeight="1">
      <c r="I921" s="13"/>
    </row>
    <row r="922" spans="9:9" ht="14.25" customHeight="1">
      <c r="I922" s="13"/>
    </row>
    <row r="923" spans="9:9" ht="14.25" customHeight="1">
      <c r="I923" s="13"/>
    </row>
    <row r="924" spans="9:9" ht="14.25" customHeight="1">
      <c r="I924" s="13"/>
    </row>
    <row r="925" spans="9:9" ht="14.25" customHeight="1">
      <c r="I925" s="13"/>
    </row>
    <row r="926" spans="9:9" ht="14.25" customHeight="1">
      <c r="I926" s="13"/>
    </row>
    <row r="927" spans="9:9" ht="14.25" customHeight="1">
      <c r="I927" s="13"/>
    </row>
    <row r="928" spans="9:9" ht="14.25" customHeight="1">
      <c r="I928" s="13"/>
    </row>
    <row r="929" spans="9:9" ht="14.25" customHeight="1">
      <c r="I929" s="13"/>
    </row>
    <row r="930" spans="9:9" ht="14.25" customHeight="1">
      <c r="I930" s="13"/>
    </row>
    <row r="931" spans="9:9" ht="14.25" customHeight="1">
      <c r="I931" s="13"/>
    </row>
    <row r="932" spans="9:9" ht="14.25" customHeight="1">
      <c r="I932" s="13"/>
    </row>
    <row r="933" spans="9:9" ht="14.25" customHeight="1">
      <c r="I933" s="13"/>
    </row>
    <row r="934" spans="9:9" ht="14.25" customHeight="1">
      <c r="I934" s="13"/>
    </row>
    <row r="935" spans="9:9" ht="14.25" customHeight="1">
      <c r="I935" s="13"/>
    </row>
    <row r="936" spans="9:9" ht="14.25" customHeight="1">
      <c r="I936" s="13"/>
    </row>
    <row r="937" spans="9:9" ht="14.25" customHeight="1">
      <c r="I937" s="13"/>
    </row>
    <row r="938" spans="9:9" ht="14.25" customHeight="1">
      <c r="I938" s="13"/>
    </row>
    <row r="939" spans="9:9" ht="14.25" customHeight="1">
      <c r="I939" s="13"/>
    </row>
    <row r="940" spans="9:9" ht="14.25" customHeight="1">
      <c r="I940" s="13"/>
    </row>
    <row r="941" spans="9:9" ht="14.25" customHeight="1">
      <c r="I941" s="13"/>
    </row>
    <row r="942" spans="9:9" ht="14.25" customHeight="1">
      <c r="I942" s="13"/>
    </row>
    <row r="943" spans="9:9" ht="14.25" customHeight="1">
      <c r="I943" s="13"/>
    </row>
    <row r="944" spans="9:9" ht="14.25" customHeight="1">
      <c r="I944" s="13"/>
    </row>
    <row r="945" spans="9:9" ht="14.25" customHeight="1">
      <c r="I945" s="13"/>
    </row>
    <row r="946" spans="9:9" ht="14.25" customHeight="1">
      <c r="I946" s="13"/>
    </row>
    <row r="947" spans="9:9" ht="14.25" customHeight="1">
      <c r="I947" s="13"/>
    </row>
    <row r="948" spans="9:9" ht="14.25" customHeight="1">
      <c r="I948" s="13"/>
    </row>
    <row r="949" spans="9:9" ht="14.25" customHeight="1">
      <c r="I949" s="13"/>
    </row>
    <row r="950" spans="9:9" ht="14.25" customHeight="1">
      <c r="I950" s="13"/>
    </row>
    <row r="951" spans="9:9" ht="14.25" customHeight="1">
      <c r="I951" s="13"/>
    </row>
    <row r="952" spans="9:9" ht="14.25" customHeight="1">
      <c r="I952" s="13"/>
    </row>
    <row r="953" spans="9:9" ht="14.25" customHeight="1">
      <c r="I953" s="13"/>
    </row>
    <row r="954" spans="9:9" ht="14.25" customHeight="1">
      <c r="I954" s="13"/>
    </row>
    <row r="955" spans="9:9" ht="14.25" customHeight="1">
      <c r="I955" s="13"/>
    </row>
    <row r="956" spans="9:9" ht="14.25" customHeight="1">
      <c r="I956" s="13"/>
    </row>
    <row r="957" spans="9:9" ht="14.25" customHeight="1">
      <c r="I957" s="13"/>
    </row>
    <row r="958" spans="9:9" ht="14.25" customHeight="1">
      <c r="I958" s="13"/>
    </row>
    <row r="959" spans="9:9" ht="14.25" customHeight="1">
      <c r="I959" s="13"/>
    </row>
    <row r="960" spans="9:9" ht="14.25" customHeight="1">
      <c r="I960" s="13"/>
    </row>
    <row r="961" spans="9:9" ht="14.25" customHeight="1">
      <c r="I961" s="13"/>
    </row>
    <row r="962" spans="9:9" ht="14.25" customHeight="1">
      <c r="I962" s="13"/>
    </row>
    <row r="963" spans="9:9" ht="14.25" customHeight="1">
      <c r="I963" s="13"/>
    </row>
    <row r="964" spans="9:9" ht="14.25" customHeight="1">
      <c r="I964" s="13"/>
    </row>
    <row r="965" spans="9:9" ht="14.25" customHeight="1">
      <c r="I965" s="13"/>
    </row>
    <row r="966" spans="9:9" ht="14.25" customHeight="1">
      <c r="I966" s="13"/>
    </row>
    <row r="967" spans="9:9" ht="14.25" customHeight="1">
      <c r="I967" s="13"/>
    </row>
    <row r="968" spans="9:9" ht="14.25" customHeight="1">
      <c r="I968" s="13"/>
    </row>
    <row r="969" spans="9:9" ht="14.25" customHeight="1">
      <c r="I969" s="13"/>
    </row>
    <row r="970" spans="9:9" ht="14.25" customHeight="1">
      <c r="I970" s="13"/>
    </row>
    <row r="971" spans="9:9" ht="14.25" customHeight="1">
      <c r="I971" s="13"/>
    </row>
    <row r="972" spans="9:9" ht="14.25" customHeight="1">
      <c r="I972" s="13"/>
    </row>
    <row r="973" spans="9:9" ht="14.25" customHeight="1">
      <c r="I973" s="13"/>
    </row>
    <row r="974" spans="9:9" ht="14.25" customHeight="1">
      <c r="I974" s="13"/>
    </row>
    <row r="975" spans="9:9" ht="14.25" customHeight="1">
      <c r="I975" s="13"/>
    </row>
    <row r="976" spans="9:9" ht="14.25" customHeight="1">
      <c r="I976" s="13"/>
    </row>
    <row r="977" spans="9:9" ht="14.25" customHeight="1">
      <c r="I977" s="13"/>
    </row>
    <row r="978" spans="9:9" ht="14.25" customHeight="1">
      <c r="I978" s="13"/>
    </row>
    <row r="979" spans="9:9" ht="14.25" customHeight="1">
      <c r="I979" s="13"/>
    </row>
    <row r="980" spans="9:9" ht="14.25" customHeight="1">
      <c r="I980" s="13"/>
    </row>
    <row r="981" spans="9:9" ht="14.25" customHeight="1">
      <c r="I981" s="13"/>
    </row>
    <row r="982" spans="9:9" ht="14.25" customHeight="1">
      <c r="I982" s="13"/>
    </row>
    <row r="983" spans="9:9" ht="14.25" customHeight="1">
      <c r="I983" s="13"/>
    </row>
    <row r="984" spans="9:9" ht="14.25" customHeight="1">
      <c r="I984" s="13"/>
    </row>
    <row r="985" spans="9:9" ht="14.25" customHeight="1">
      <c r="I985" s="13"/>
    </row>
    <row r="986" spans="9:9" ht="14.25" customHeight="1">
      <c r="I986" s="13"/>
    </row>
    <row r="987" spans="9:9" ht="14.25" customHeight="1">
      <c r="I987" s="13"/>
    </row>
    <row r="988" spans="9:9" ht="14.25" customHeight="1">
      <c r="I988" s="13"/>
    </row>
    <row r="989" spans="9:9" ht="14.25" customHeight="1">
      <c r="I989" s="13"/>
    </row>
    <row r="990" spans="9:9" ht="14.25" customHeight="1">
      <c r="I990" s="13"/>
    </row>
    <row r="991" spans="9:9" ht="14.25" customHeight="1">
      <c r="I991" s="13"/>
    </row>
    <row r="992" spans="9:9" ht="14.25" customHeight="1">
      <c r="I992" s="13"/>
    </row>
    <row r="993" spans="9:9" ht="14.25" customHeight="1">
      <c r="I993" s="13"/>
    </row>
    <row r="994" spans="9:9" ht="14.25" customHeight="1">
      <c r="I994" s="13"/>
    </row>
    <row r="995" spans="9:9" ht="14.25" customHeight="1">
      <c r="I995" s="13"/>
    </row>
    <row r="996" spans="9:9" ht="14.25" customHeight="1">
      <c r="I996" s="13"/>
    </row>
    <row r="997" spans="9:9" ht="14.25" customHeight="1">
      <c r="I997" s="13"/>
    </row>
    <row r="998" spans="9:9" ht="14.25" customHeight="1">
      <c r="I998" s="13"/>
    </row>
    <row r="999" spans="9:9" ht="14.25" customHeight="1">
      <c r="I999" s="13"/>
    </row>
    <row r="1000" spans="9:9" ht="14.25" customHeight="1">
      <c r="I1000" s="13"/>
    </row>
  </sheetData>
  <customSheetViews>
    <customSheetView guid="{AD18EC43-8DB6-4E4C-9AE6-0877D8BB0E08}" filter="1" showAutoFilter="1" topLeftCell="A1">
      <pageMargins left="0.75" right="0.75" top="1" bottom="1" header="0.5" footer="0.5"/>
      <autoFilter ref="A1:K12"/>
    </customSheetView>
  </customSheetViews>
  <pageMargins left="0.7" right="0.7" top="0.75" bottom="0.75" header="0" footer="0"/>
  <pageSetup orientation="portrait" paperSize="9"/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200-000000000000}">
  <dimension ref="A1:N21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13.7142857142857" customWidth="1"/>
    <col min="2" max="2" width="46.7142857142857" customWidth="1"/>
    <col min="3" max="3" width="11.4285714285714" customWidth="1"/>
    <col min="4" max="4" width="20.5714285714286" customWidth="1"/>
    <col min="5" max="5" width="12" customWidth="1"/>
    <col min="6" max="6" width="23.4285714285714" customWidth="1"/>
    <col min="7" max="7" width="15.7142857142857" customWidth="1"/>
    <col min="8" max="8" width="19.7142857142857" customWidth="1"/>
    <col min="9" max="9" width="21.5714285714286" customWidth="1"/>
    <col min="10" max="10" width="12" customWidth="1"/>
    <col min="11" max="11" width="7.71428571428571" customWidth="1"/>
    <col min="12" max="12" width="10.7142857142857" customWidth="1"/>
    <col min="13" max="13" width="15.2857142857143" customWidth="1"/>
    <col min="14" max="26" width="8.71428571428571" customWidth="1"/>
  </cols>
  <sheetData>
    <row r="1" spans="1:14" ht="14.25" customHeigh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12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11</v>
      </c>
      <c r="N1" s="2" t="s">
        <v>13</v>
      </c>
    </row>
    <row r="2" spans="1:12" ht="12.75" customHeight="1">
      <c r="A2" s="4" t="s">
        <v>21</v>
      </c>
      <c r="B2" s="4" t="s">
        <v>22</v>
      </c>
      <c r="C2" s="4" t="s">
        <v>21</v>
      </c>
      <c r="D2" s="4" t="s">
        <v>24</v>
      </c>
      <c r="E2" s="4" t="s">
        <v>26</v>
      </c>
      <c r="F2" s="4" t="s">
        <v>27</v>
      </c>
      <c r="G2" s="4" t="s">
        <v>28</v>
      </c>
      <c r="H2" s="4" t="s">
        <v>29</v>
      </c>
      <c r="I2" s="4" t="s">
        <v>30</v>
      </c>
      <c r="J2" s="4" t="s">
        <v>31</v>
      </c>
      <c r="K2" s="4" t="s">
        <v>32</v>
      </c>
      <c r="L2" s="7">
        <v>0.05</v>
      </c>
    </row>
    <row r="3" spans="1:14" ht="14.25" customHeight="1">
      <c r="A3" s="6" t="s">
        <v>33</v>
      </c>
      <c r="B3" s="4" t="s">
        <v>34</v>
      </c>
      <c r="C3" s="6" t="s">
        <v>33</v>
      </c>
      <c r="D3" s="4" t="s">
        <v>24</v>
      </c>
      <c r="E3" s="4" t="s">
        <v>26</v>
      </c>
      <c r="F3" s="4" t="s">
        <v>36</v>
      </c>
      <c r="G3" s="6" t="s">
        <v>38</v>
      </c>
      <c r="H3" s="4" t="s">
        <v>40</v>
      </c>
      <c r="I3" s="4" t="s">
        <v>30</v>
      </c>
      <c r="J3" s="4" t="s">
        <v>41</v>
      </c>
      <c r="K3" s="4" t="s">
        <v>42</v>
      </c>
      <c r="L3" s="7">
        <v>0.02</v>
      </c>
      <c r="N3" s="6" t="s">
        <v>45</v>
      </c>
    </row>
    <row r="4" spans="1:14" ht="14.25" customHeight="1">
      <c r="A4" s="6" t="s">
        <v>46</v>
      </c>
      <c r="B4" s="4" t="s">
        <v>49</v>
      </c>
      <c r="C4" s="6" t="s">
        <v>46</v>
      </c>
      <c r="D4" s="4" t="s">
        <v>52</v>
      </c>
      <c r="E4" s="6" t="s">
        <v>53</v>
      </c>
      <c r="F4" s="4" t="s">
        <v>55</v>
      </c>
      <c r="G4" s="6" t="s">
        <v>56</v>
      </c>
      <c r="H4" s="4" t="s">
        <v>57</v>
      </c>
      <c r="I4" s="4" t="s">
        <v>30</v>
      </c>
      <c r="J4" s="4" t="s">
        <v>61</v>
      </c>
      <c r="K4" s="4" t="s">
        <v>62</v>
      </c>
      <c r="L4" s="7">
        <v>0.02</v>
      </c>
      <c r="N4" s="6" t="s">
        <v>45</v>
      </c>
    </row>
    <row r="5" spans="1:14" ht="14.25" customHeight="1">
      <c r="A5" s="6" t="s">
        <v>65</v>
      </c>
      <c r="B5" s="6" t="s">
        <v>67</v>
      </c>
      <c r="C5" s="6" t="s">
        <v>65</v>
      </c>
      <c r="D5" s="4" t="s">
        <v>24</v>
      </c>
      <c r="E5" s="4" t="s">
        <v>26</v>
      </c>
      <c r="F5" s="4" t="s">
        <v>36</v>
      </c>
      <c r="G5" s="6" t="s">
        <v>38</v>
      </c>
      <c r="H5" s="4" t="s">
        <v>29</v>
      </c>
      <c r="I5" s="4" t="s">
        <v>30</v>
      </c>
      <c r="J5" s="4" t="s">
        <v>41</v>
      </c>
      <c r="K5" s="4" t="s">
        <v>32</v>
      </c>
      <c r="L5" s="7">
        <v>0.02</v>
      </c>
      <c r="N5" s="6" t="s">
        <v>45</v>
      </c>
    </row>
    <row r="6" spans="1:14" ht="14.25" customHeight="1">
      <c r="A6" s="6" t="s">
        <v>77</v>
      </c>
      <c r="B6" s="6" t="s">
        <v>80</v>
      </c>
      <c r="C6" s="6" t="s">
        <v>77</v>
      </c>
      <c r="D6" s="4" t="s">
        <v>24</v>
      </c>
      <c r="E6" s="4" t="s">
        <v>26</v>
      </c>
      <c r="F6" s="4" t="s">
        <v>36</v>
      </c>
      <c r="G6" s="6" t="s">
        <v>38</v>
      </c>
      <c r="H6" s="4" t="s">
        <v>84</v>
      </c>
      <c r="I6" s="4" t="s">
        <v>30</v>
      </c>
      <c r="J6" s="4" t="s">
        <v>41</v>
      </c>
      <c r="K6" s="4" t="s">
        <v>85</v>
      </c>
      <c r="L6" s="7">
        <v>0.02</v>
      </c>
      <c r="M6" s="6" t="s">
        <v>90</v>
      </c>
      <c r="N6" s="6" t="s">
        <v>45</v>
      </c>
    </row>
    <row r="7" spans="8:11" ht="14.25" customHeight="1">
      <c r="H7" s="11"/>
      <c r="I7" s="11"/>
      <c r="J7" s="11"/>
      <c r="K7" s="11"/>
    </row>
    <row r="8" spans="8:11" ht="14.25" customHeight="1">
      <c r="H8" s="11"/>
      <c r="I8" s="11"/>
      <c r="J8" s="11"/>
      <c r="K8" s="11"/>
    </row>
    <row r="9" spans="8:11" ht="14.25" customHeight="1">
      <c r="H9" s="11"/>
      <c r="I9" s="11"/>
      <c r="J9" s="11"/>
      <c r="K9" s="11"/>
    </row>
    <row r="10" spans="8:11" ht="14.25" customHeight="1">
      <c r="H10" s="11"/>
      <c r="I10" s="11"/>
      <c r="J10" s="11"/>
      <c r="K10" s="11"/>
    </row>
    <row r="11" spans="8:11" ht="14.25" customHeight="1">
      <c r="H11" s="11"/>
      <c r="I11" s="11"/>
      <c r="J11" s="11"/>
      <c r="K11" s="11"/>
    </row>
    <row r="12" spans="8:11" ht="14.25" customHeight="1">
      <c r="H12" s="11"/>
      <c r="I12" s="11"/>
      <c r="J12" s="11"/>
      <c r="K12" s="11"/>
    </row>
    <row r="13" spans="8:11" ht="14.25" customHeight="1">
      <c r="H13" s="11"/>
      <c r="I13" s="11"/>
      <c r="J13" s="11"/>
      <c r="K13" s="11"/>
    </row>
    <row r="14" spans="8:11" ht="14.25" customHeight="1">
      <c r="H14" s="11"/>
      <c r="I14" s="11"/>
      <c r="J14" s="11"/>
      <c r="K14" s="11"/>
    </row>
    <row r="15" spans="8:11" ht="14.25" customHeight="1">
      <c r="H15" s="11"/>
      <c r="I15" s="11"/>
      <c r="J15" s="11"/>
      <c r="K15" s="11"/>
    </row>
    <row r="16" spans="8:11" ht="14.25" customHeight="1">
      <c r="H16" s="11"/>
      <c r="I16" s="11"/>
      <c r="J16" s="11"/>
      <c r="K16" s="11"/>
    </row>
    <row r="17" spans="8:11" ht="14.25" customHeight="1">
      <c r="H17" s="11"/>
      <c r="I17" s="11"/>
      <c r="J17" s="11"/>
      <c r="K17" s="11"/>
    </row>
    <row r="18" spans="8:11" ht="14.25" customHeight="1">
      <c r="H18" s="11"/>
      <c r="I18" s="11"/>
      <c r="J18" s="11"/>
      <c r="K18" s="11"/>
    </row>
    <row r="19" spans="8:11" ht="14.25" customHeight="1">
      <c r="H19" s="11"/>
      <c r="I19" s="11"/>
      <c r="J19" s="11"/>
      <c r="K19" s="11"/>
    </row>
    <row r="20" spans="8:11" ht="14.25" customHeight="1">
      <c r="H20" s="11"/>
      <c r="I20" s="11"/>
      <c r="J20" s="11"/>
      <c r="K20" s="11"/>
    </row>
    <row r="21" spans="8:11" ht="14.25" customHeight="1">
      <c r="H21" s="11"/>
      <c r="I21" s="11"/>
      <c r="J21" s="11"/>
      <c r="K21" s="11"/>
    </row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FF52B65E-E26F-4A4B-B993-E90D14663BBF}" filter="1" showAutoFilter="1" topLeftCell="A1">
      <pageMargins left="0.75" right="0.75" top="1" bottom="1" header="0.5" footer="0.5"/>
      <autoFilter ref="A1:N6"/>
    </customSheetView>
  </customSheetViews>
  <pageMargins left="0.7" right="0.7" top="0.75" bottom="0.75" header="0" footer="0"/>
  <pageSetup orientation="landscape" paperSize="1"/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300-000000000000}">
  <dimension ref="A1:M14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20.4285714285714" customWidth="1"/>
    <col min="2" max="2" width="53.7142857142857" customWidth="1"/>
    <col min="3" max="3" width="15.7142857142857" customWidth="1"/>
    <col min="4" max="4" width="26.4285714285714" customWidth="1"/>
    <col min="5" max="5" width="11.7142857142857" customWidth="1"/>
    <col min="6" max="6" width="16.4285714285714" customWidth="1"/>
    <col min="7" max="7" width="15.4285714285714" customWidth="1"/>
    <col min="8" max="8" width="12.5714285714286" customWidth="1"/>
    <col min="9" max="9" width="11.7142857142857" customWidth="1"/>
    <col min="10" max="10" width="8" customWidth="1"/>
    <col min="11" max="11" width="10.4285714285714" customWidth="1"/>
    <col min="12" max="12" width="13.2857142857143" customWidth="1"/>
    <col min="13" max="26" width="8.71428571428571" customWidth="1"/>
  </cols>
  <sheetData>
    <row r="1" spans="1:13" ht="14.25" customHeigh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12</v>
      </c>
      <c r="I1" s="2" t="s">
        <v>15</v>
      </c>
      <c r="J1" s="2" t="s">
        <v>16</v>
      </c>
      <c r="K1" s="2" t="s">
        <v>19</v>
      </c>
      <c r="L1" s="2" t="s">
        <v>11</v>
      </c>
      <c r="M1" s="2" t="s">
        <v>13</v>
      </c>
    </row>
    <row r="2" spans="1:10" ht="14.25" customHeight="1">
      <c r="A2" s="6" t="s">
        <v>23</v>
      </c>
      <c r="B2" s="6" t="str">
        <f t="shared" si="0" ref="B2:B3">IF(K2="RS-485","Защитный диод для линии RS-485",CONCATENATE("Защитный диод на ",H2," В, рассеиваемая мощность ",I2," Вт"))</f>
        <v>Защитный диод на 24 В, рассеиваемая мощность 600 Вт</v>
      </c>
      <c r="C2" s="6" t="str">
        <f t="shared" si="1" ref="C2:C14">A2</f>
        <v>SMBJ24A</v>
      </c>
      <c r="D2" s="6" t="str">
        <f t="shared" si="2" ref="D2:D14">CONCATENATE("Schematic\TVS\",E2,".SchLib")</f>
        <v>Schematic\TVS\TVS_1_1dir.SchLib</v>
      </c>
      <c r="E2" s="6" t="s">
        <v>43</v>
      </c>
      <c r="F2" s="6" t="str">
        <f t="shared" si="3" ref="F2:F14">CONCATENATE("Footprints\",G2,".PcbLib")</f>
        <v>Footprints\SMB.PcbLib</v>
      </c>
      <c r="G2" s="6" t="s">
        <v>54</v>
      </c>
      <c r="H2" s="6">
        <v>24</v>
      </c>
      <c r="I2" s="6">
        <v>600</v>
      </c>
      <c r="J2" s="6" t="str">
        <f>CONCATENATE(H2," В")</f>
        <v>24 В</v>
      </c>
    </row>
    <row r="3" spans="1:11" ht="14.25" customHeight="1">
      <c r="A3" s="6" t="s">
        <v>68</v>
      </c>
      <c r="B3" s="6" t="str">
        <f t="shared" si="0"/>
        <v>Защитный диод для линии RS-485</v>
      </c>
      <c r="C3" s="6" t="str">
        <f t="shared" si="1"/>
        <v>PSM712</v>
      </c>
      <c r="D3" s="6" t="str">
        <f t="shared" si="2"/>
        <v>Schematic\TVS\TVS_2_2dir.SchLib</v>
      </c>
      <c r="E3" s="6" t="s">
        <v>72</v>
      </c>
      <c r="F3" s="6" t="str">
        <f t="shared" si="3"/>
        <v>Footprints\SOT23-3.PcbLib</v>
      </c>
      <c r="G3" s="6" t="s">
        <v>56</v>
      </c>
      <c r="K3" s="6" t="s">
        <v>76</v>
      </c>
    </row>
    <row r="4" spans="1:10" ht="14.25" customHeight="1">
      <c r="A4" s="6" t="s">
        <v>78</v>
      </c>
      <c r="B4" s="6" t="str">
        <f>IF(K4="RS-485","Защитный диод для линии RS-485",CONCATENATE("Двунаправленный защитный диод на ",H4," В, рассеиваемая мощность ",I4," Вт"))</f>
        <v>Двунаправленный защитный диод на 12 В, рассеиваемая мощность 400 Вт</v>
      </c>
      <c r="C4" s="6" t="str">
        <f t="shared" si="1"/>
        <v>SMAJ12CA</v>
      </c>
      <c r="D4" s="6" t="str">
        <f t="shared" si="2"/>
        <v>Schematic\TVS\TVS_1_2dir.SchLib</v>
      </c>
      <c r="E4" s="6" t="s">
        <v>87</v>
      </c>
      <c r="F4" s="6" t="str">
        <f t="shared" si="3"/>
        <v>Footprints\SMA.PcbLib</v>
      </c>
      <c r="G4" s="6" t="s">
        <v>93</v>
      </c>
      <c r="H4" s="6">
        <v>12</v>
      </c>
      <c r="I4" s="6">
        <v>400</v>
      </c>
      <c r="J4" s="6" t="str">
        <f t="shared" si="4" ref="J4:J14">CONCATENATE(H4," В")</f>
        <v>12 В</v>
      </c>
    </row>
    <row r="5" spans="1:10" ht="14.25" customHeight="1">
      <c r="A5" s="6" t="s">
        <v>96</v>
      </c>
      <c r="B5" s="6" t="str">
        <f t="shared" si="5" ref="B5:B9">IF(K5="RS-485","Защитный диод для линии RS-485",CONCATENATE("Защитный диод на ",H5," В, рассеиваемая мощность ",I5," Вт"))</f>
        <v>Защитный диод на 18 В, рассеиваемая мощность 600 Вт</v>
      </c>
      <c r="C5" s="6" t="str">
        <f t="shared" si="1"/>
        <v>SMBJ18A</v>
      </c>
      <c r="D5" s="6" t="str">
        <f t="shared" si="2"/>
        <v>Schematic\TVS\TVS_1_1dir.SchLib</v>
      </c>
      <c r="E5" s="6" t="s">
        <v>43</v>
      </c>
      <c r="F5" s="6" t="str">
        <f t="shared" si="3"/>
        <v>Footprints\SMB.PcbLib</v>
      </c>
      <c r="G5" s="6" t="s">
        <v>54</v>
      </c>
      <c r="H5" s="6">
        <v>18</v>
      </c>
      <c r="I5" s="6">
        <v>600</v>
      </c>
      <c r="J5" s="6" t="str">
        <f t="shared" si="4"/>
        <v>18 В</v>
      </c>
    </row>
    <row r="6" spans="1:10" ht="14.25" customHeight="1">
      <c r="A6" s="6" t="s">
        <v>103</v>
      </c>
      <c r="B6" s="6" t="str">
        <f t="shared" si="5"/>
        <v>Защитный диод на 5 В, рассеиваемая мощность 330 Вт</v>
      </c>
      <c r="C6" s="6" t="str">
        <f t="shared" si="1"/>
        <v>PESD5V0S1UB</v>
      </c>
      <c r="D6" s="6" t="str">
        <f t="shared" si="2"/>
        <v>Schematic\TVS\TVS_1_1dir.SchLib</v>
      </c>
      <c r="E6" s="6" t="s">
        <v>43</v>
      </c>
      <c r="F6" s="6" t="str">
        <f t="shared" si="3"/>
        <v>Footprints\SOD523.PcbLib</v>
      </c>
      <c r="G6" s="6" t="s">
        <v>108</v>
      </c>
      <c r="H6" s="6">
        <v>5</v>
      </c>
      <c r="I6" s="6">
        <v>330</v>
      </c>
      <c r="J6" s="6" t="str">
        <f t="shared" si="4"/>
        <v>5 В</v>
      </c>
    </row>
    <row r="7" spans="1:10" ht="14.25" customHeight="1">
      <c r="A7" s="6" t="s">
        <v>112</v>
      </c>
      <c r="B7" s="6" t="str">
        <f t="shared" si="5"/>
        <v>Защитный диод на 15 В, рассеиваемая мощность 600 Вт</v>
      </c>
      <c r="C7" s="6" t="str">
        <f t="shared" si="1"/>
        <v>SMBJ15A</v>
      </c>
      <c r="D7" s="6" t="str">
        <f t="shared" si="2"/>
        <v>Schematic\TVS\TVS_1_1dir.SchLib</v>
      </c>
      <c r="E7" s="6" t="s">
        <v>43</v>
      </c>
      <c r="F7" s="6" t="str">
        <f t="shared" si="3"/>
        <v>Footprints\SMB.PcbLib</v>
      </c>
      <c r="G7" s="6" t="s">
        <v>54</v>
      </c>
      <c r="H7" s="6">
        <v>15</v>
      </c>
      <c r="I7" s="6">
        <v>600</v>
      </c>
      <c r="J7" s="6" t="str">
        <f t="shared" si="4"/>
        <v>15 В</v>
      </c>
    </row>
    <row r="8" spans="1:10" ht="14.25" customHeight="1">
      <c r="A8" s="6" t="s">
        <v>119</v>
      </c>
      <c r="B8" s="6" t="str">
        <f t="shared" si="5"/>
        <v>Защитный диод на 13 В, рассеиваемая мощность 600 Вт</v>
      </c>
      <c r="C8" s="6" t="str">
        <f t="shared" si="1"/>
        <v>SMBJ13A-TR</v>
      </c>
      <c r="D8" s="6" t="str">
        <f t="shared" si="2"/>
        <v>Schematic\TVS\TVS_1_1dir.SchLib</v>
      </c>
      <c r="E8" s="6" t="s">
        <v>43</v>
      </c>
      <c r="F8" s="6" t="str">
        <f t="shared" si="3"/>
        <v>Footprints\SMB.PcbLib</v>
      </c>
      <c r="G8" s="6" t="s">
        <v>54</v>
      </c>
      <c r="H8" s="6">
        <v>13</v>
      </c>
      <c r="I8" s="6">
        <v>600</v>
      </c>
      <c r="J8" s="6" t="str">
        <f t="shared" si="4"/>
        <v>13 В</v>
      </c>
    </row>
    <row r="9" spans="1:10" ht="14.25" customHeight="1">
      <c r="A9" s="6" t="s">
        <v>127</v>
      </c>
      <c r="B9" s="6" t="str">
        <f t="shared" si="5"/>
        <v>Защитный диод на 30 В, рассеиваемая мощность 1500 Вт</v>
      </c>
      <c r="C9" s="6" t="str">
        <f t="shared" si="1"/>
        <v>SM15T33A</v>
      </c>
      <c r="D9" s="6" t="str">
        <f t="shared" si="2"/>
        <v>Schematic\TVS\TVS_1_1dir.SchLib</v>
      </c>
      <c r="E9" s="6" t="s">
        <v>43</v>
      </c>
      <c r="F9" s="6" t="str">
        <f t="shared" si="3"/>
        <v>Footprints\SMC.PcbLib</v>
      </c>
      <c r="G9" s="6" t="s">
        <v>59</v>
      </c>
      <c r="H9" s="6">
        <v>30</v>
      </c>
      <c r="I9" s="6">
        <v>1500</v>
      </c>
      <c r="J9" s="6" t="str">
        <f t="shared" si="4"/>
        <v>30 В</v>
      </c>
    </row>
    <row r="10" spans="1:10" ht="14.25" customHeight="1">
      <c r="A10" s="6" t="s">
        <v>131</v>
      </c>
      <c r="B10" s="6" t="s">
        <v>132</v>
      </c>
      <c r="C10" s="6" t="str">
        <f t="shared" si="1"/>
        <v>SMBJ16CA</v>
      </c>
      <c r="D10" s="6" t="str">
        <f t="shared" si="2"/>
        <v>Schematic\TVS\TVS_1_2dir.SchLib</v>
      </c>
      <c r="E10" s="6" t="s">
        <v>87</v>
      </c>
      <c r="F10" s="6" t="str">
        <f t="shared" si="3"/>
        <v>Footprints\SMB.PcbLib</v>
      </c>
      <c r="G10" s="6" t="s">
        <v>54</v>
      </c>
      <c r="H10" s="6">
        <v>16</v>
      </c>
      <c r="I10" s="6">
        <v>600</v>
      </c>
      <c r="J10" s="6" t="str">
        <f t="shared" si="4"/>
        <v>16 В</v>
      </c>
    </row>
    <row r="11" spans="1:13" ht="14.25" customHeight="1">
      <c r="A11" s="6" t="s">
        <v>137</v>
      </c>
      <c r="B11" s="6" t="str">
        <f t="shared" si="6" ref="B11:B13">IF(K11="RS-485","Защитный диод для линии RS-485",CONCATENATE("Защитный диод на ",H11," В, рассеиваемая мощность ",I11," Вт"))</f>
        <v>Защитный диод на 3,3 В, рассеиваемая мощность 45 Вт</v>
      </c>
      <c r="C11" s="6" t="str">
        <f t="shared" si="1"/>
        <v>PESD3V3L1UB</v>
      </c>
      <c r="D11" s="6" t="str">
        <f t="shared" si="2"/>
        <v>Schematic\TVS\TVS_1_1dir.SchLib</v>
      </c>
      <c r="E11" s="6" t="s">
        <v>43</v>
      </c>
      <c r="F11" s="6" t="str">
        <f t="shared" si="3"/>
        <v>Footprints\SOD523.PcbLib</v>
      </c>
      <c r="G11" s="6" t="s">
        <v>108</v>
      </c>
      <c r="H11" s="6">
        <v>3.30</v>
      </c>
      <c r="I11" s="6">
        <v>45</v>
      </c>
      <c r="J11" s="6" t="str">
        <f t="shared" si="4"/>
        <v>3,3 В</v>
      </c>
      <c r="M11" s="6" t="s">
        <v>64</v>
      </c>
    </row>
    <row r="12" spans="1:13" ht="14.25" customHeight="1">
      <c r="A12" s="6" t="s">
        <v>143</v>
      </c>
      <c r="B12" s="6" t="str">
        <f t="shared" si="6"/>
        <v>Защитный диод на 16 В, рассеиваемая мощность 600 Вт</v>
      </c>
      <c r="C12" s="6" t="str">
        <f t="shared" si="1"/>
        <v>SMBJ16A</v>
      </c>
      <c r="D12" s="6" t="str">
        <f t="shared" si="2"/>
        <v>Schematic\TVS\TVS_1_1dir.SchLib</v>
      </c>
      <c r="E12" s="6" t="s">
        <v>43</v>
      </c>
      <c r="F12" s="6" t="str">
        <f t="shared" si="3"/>
        <v>Footprints\SMB.PcbLib</v>
      </c>
      <c r="G12" s="6" t="s">
        <v>54</v>
      </c>
      <c r="H12" s="6">
        <v>16</v>
      </c>
      <c r="I12" s="6">
        <v>600</v>
      </c>
      <c r="J12" s="6" t="str">
        <f t="shared" si="4"/>
        <v>16 В</v>
      </c>
      <c r="M12" s="6" t="s">
        <v>64</v>
      </c>
    </row>
    <row r="13" spans="1:13" ht="14.25" customHeight="1">
      <c r="A13" s="6" t="s">
        <v>147</v>
      </c>
      <c r="B13" s="6" t="str">
        <f t="shared" si="6"/>
        <v>Защитный диод на 12 В, рассеиваемая мощность 400 Вт</v>
      </c>
      <c r="C13" s="6" t="str">
        <f t="shared" si="1"/>
        <v>SMAJ12A</v>
      </c>
      <c r="D13" s="6" t="str">
        <f t="shared" si="2"/>
        <v>Schematic\TVS\TVS_1_1dir.SchLib</v>
      </c>
      <c r="E13" s="6" t="s">
        <v>43</v>
      </c>
      <c r="F13" s="6" t="str">
        <f t="shared" si="3"/>
        <v>Footprints\SMA.PcbLib</v>
      </c>
      <c r="G13" s="6" t="s">
        <v>93</v>
      </c>
      <c r="H13" s="6">
        <v>12</v>
      </c>
      <c r="I13" s="6">
        <v>400</v>
      </c>
      <c r="J13" s="6" t="str">
        <f t="shared" si="4"/>
        <v>12 В</v>
      </c>
      <c r="M13" s="6" t="s">
        <v>45</v>
      </c>
    </row>
    <row r="14" spans="1:13" ht="14.25" customHeight="1">
      <c r="A14" s="6" t="s">
        <v>152</v>
      </c>
      <c r="B14" s="6" t="str">
        <f>IF(NOT(K14=""),CONCATENATE("Защитный диод для линии ",K14),CONCATENATE("Защитный диод на ",H14," В, рассеиваемая мощность ",I14," Вт"))</f>
        <v>Защитный диод для линии CAN</v>
      </c>
      <c r="C14" s="6" t="str">
        <f t="shared" si="1"/>
        <v>PESD1CAN,215</v>
      </c>
      <c r="D14" s="6" t="str">
        <f t="shared" si="2"/>
        <v>Schematic\TVS\TVS_2_2dir.SchLib</v>
      </c>
      <c r="E14" s="6" t="s">
        <v>72</v>
      </c>
      <c r="F14" s="6" t="str">
        <f t="shared" si="3"/>
        <v>Footprints\SOT23-3.PcbLib</v>
      </c>
      <c r="G14" s="6" t="s">
        <v>56</v>
      </c>
      <c r="J14" s="6" t="str">
        <f t="shared" si="4"/>
        <v>В</v>
      </c>
      <c r="K14" s="6" t="s">
        <v>159</v>
      </c>
      <c r="L14" s="14" t="s">
        <v>160</v>
      </c>
      <c r="M14" s="6" t="s">
        <v>64</v>
      </c>
    </row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BC9176C8-F2C9-48A9-9FC9-D1ABBDF49778}" filter="1" showAutoFilter="1" topLeftCell="A1">
      <pageMargins left="0.75" right="0.75" top="1" bottom="1" header="0.5" footer="0.5"/>
      <autoFilter ref="A1:M14"/>
    </customSheetView>
  </customSheetViews>
  <hyperlinks>
    <hyperlink ref="L14" r:id="rId1" display="https://static.chipdip.ru/lib/583/DOC001583049.pdf"/>
  </hyperlinks>
  <pageMargins left="0.7" right="0.7" top="0.75" bottom="0.75" header="0" footer="0"/>
  <pageSetup orientation="landscape" paperSize="1"/>
  <tableParts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400-000000000000}">
  <dimension ref="A1:S20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14.7142857142857" customWidth="1"/>
    <col min="2" max="2" width="93.2857142857143" customWidth="1"/>
    <col min="3" max="3" width="12.4285714285714" customWidth="1"/>
    <col min="4" max="4" width="35.7142857142857" customWidth="1"/>
    <col min="5" max="5" width="24.4285714285714" customWidth="1"/>
    <col min="6" max="6" width="23.2857142857143" customWidth="1"/>
    <col min="7" max="7" width="16.7142857142857" customWidth="1"/>
    <col min="8" max="8" width="29.7142857142857" customWidth="1"/>
    <col min="9" max="9" width="16.7142857142857" customWidth="1"/>
    <col min="10" max="11" width="8.71428571428571" customWidth="1"/>
    <col min="12" max="12" width="13.7142857142857" customWidth="1"/>
    <col min="13" max="26" width="8.71428571428571" customWidth="1"/>
  </cols>
  <sheetData>
    <row r="1" spans="1:19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168</v>
      </c>
      <c r="L1" s="1" t="s">
        <v>11</v>
      </c>
      <c r="M1" s="1" t="s">
        <v>13</v>
      </c>
      <c r="N1" s="3"/>
      <c r="O1" s="3"/>
      <c r="P1" s="3"/>
      <c r="Q1" s="3"/>
      <c r="R1" s="3"/>
      <c r="S1" s="3"/>
    </row>
    <row r="2" spans="1:11" ht="14.25" customHeight="1">
      <c r="A2" s="15" t="s">
        <v>171</v>
      </c>
      <c r="B2" s="15" t="s">
        <v>174</v>
      </c>
      <c r="C2" s="4" t="str">
        <f t="shared" si="0" ref="C2:C20">A2</f>
        <v>50N06</v>
      </c>
      <c r="D2" s="15" t="s">
        <v>177</v>
      </c>
      <c r="E2" s="15" t="s">
        <v>178</v>
      </c>
      <c r="F2" s="4" t="str">
        <f t="shared" si="1" ref="F2:F20">CONCATENATE("Footprints\",G2,".PcbLib")</f>
        <v>Footprints\DPAK.PcbLib</v>
      </c>
      <c r="G2" s="15" t="s">
        <v>179</v>
      </c>
      <c r="H2" s="4" t="str">
        <f t="shared" si="2" ref="H2:H3">CONCATENATE("Footprints\",I2,".PcbLib")</f>
        <v>Footprints\DPAK_termopad.PcbLib</v>
      </c>
      <c r="I2" s="4" t="s">
        <v>182</v>
      </c>
      <c r="J2" s="6" t="s">
        <v>183</v>
      </c>
      <c r="K2" s="6" t="s">
        <v>184</v>
      </c>
    </row>
    <row r="3" spans="1:11" ht="14.25" customHeight="1">
      <c r="A3" s="15" t="s">
        <v>186</v>
      </c>
      <c r="B3" s="15" t="s">
        <v>174</v>
      </c>
      <c r="C3" s="4" t="str">
        <f t="shared" si="0"/>
        <v>100N03A</v>
      </c>
      <c r="D3" s="15" t="s">
        <v>177</v>
      </c>
      <c r="E3" s="15" t="s">
        <v>178</v>
      </c>
      <c r="F3" s="4" t="str">
        <f t="shared" si="1"/>
        <v>Footprints\DPAK.PcbLib</v>
      </c>
      <c r="G3" s="15" t="s">
        <v>179</v>
      </c>
      <c r="H3" s="4" t="str">
        <f t="shared" si="2"/>
        <v>Footprints\DPAK_termopad.PcbLib</v>
      </c>
      <c r="I3" s="4" t="s">
        <v>182</v>
      </c>
      <c r="J3" s="6" t="s">
        <v>191</v>
      </c>
      <c r="K3" s="6" t="s">
        <v>192</v>
      </c>
    </row>
    <row r="4" spans="1:9" ht="14.25" customHeight="1">
      <c r="A4" s="15" t="s">
        <v>194</v>
      </c>
      <c r="B4" s="15" t="s">
        <v>174</v>
      </c>
      <c r="C4" s="4" t="str">
        <f t="shared" si="0"/>
        <v>AO3400A</v>
      </c>
      <c r="D4" s="15" t="s">
        <v>177</v>
      </c>
      <c r="E4" s="15" t="s">
        <v>196</v>
      </c>
      <c r="F4" s="4" t="str">
        <f t="shared" si="1"/>
        <v>Footprints\SOT23-3.PcbLib</v>
      </c>
      <c r="G4" s="15" t="s">
        <v>56</v>
      </c>
      <c r="H4" s="15"/>
      <c r="I4" s="4"/>
    </row>
    <row r="5" spans="1:9" ht="14.25" customHeight="1">
      <c r="A5" s="15" t="s">
        <v>199</v>
      </c>
      <c r="B5" s="15" t="s">
        <v>200</v>
      </c>
      <c r="C5" s="4" t="str">
        <f t="shared" si="0"/>
        <v>AO3401A</v>
      </c>
      <c r="D5" s="15" t="s">
        <v>202</v>
      </c>
      <c r="E5" s="15" t="s">
        <v>204</v>
      </c>
      <c r="F5" s="4" t="str">
        <f t="shared" si="1"/>
        <v>Footprints\SOT23-3.PcbLib</v>
      </c>
      <c r="G5" s="15" t="s">
        <v>56</v>
      </c>
      <c r="H5" s="4"/>
      <c r="I5" s="4"/>
    </row>
    <row r="6" spans="1:9" ht="14.25" customHeight="1">
      <c r="A6" s="15" t="s">
        <v>206</v>
      </c>
      <c r="B6" s="15" t="s">
        <v>200</v>
      </c>
      <c r="C6" s="4" t="str">
        <f t="shared" si="0"/>
        <v>SUD50P06-15</v>
      </c>
      <c r="D6" s="15" t="s">
        <v>202</v>
      </c>
      <c r="E6" s="15" t="s">
        <v>209</v>
      </c>
      <c r="F6" s="4" t="str">
        <f t="shared" si="1"/>
        <v>Footprints\DPAK.PcbLib</v>
      </c>
      <c r="G6" s="15" t="s">
        <v>179</v>
      </c>
      <c r="H6" s="4" t="str">
        <f>CONCATENATE("Footprints\",I6,".PcbLib")</f>
        <v>Footprints\DPAK_termopad.PcbLib</v>
      </c>
      <c r="I6" s="4" t="s">
        <v>182</v>
      </c>
    </row>
    <row r="7" spans="1:13" ht="14.25" customHeight="1">
      <c r="A7" s="16" t="s">
        <v>214</v>
      </c>
      <c r="B7" s="15" t="s">
        <v>200</v>
      </c>
      <c r="C7" s="4" t="str">
        <f t="shared" si="0"/>
        <v>AO4411</v>
      </c>
      <c r="D7" s="15" t="s">
        <v>218</v>
      </c>
      <c r="E7" s="15" t="s">
        <v>219</v>
      </c>
      <c r="F7" s="6" t="str">
        <f t="shared" si="1"/>
        <v>Footprints\SOIC-8.PcbLib</v>
      </c>
      <c r="G7" s="16" t="s">
        <v>58</v>
      </c>
      <c r="H7" s="4"/>
      <c r="M7" s="6" t="s">
        <v>64</v>
      </c>
    </row>
    <row r="8" spans="1:13" ht="14.25" customHeight="1">
      <c r="A8" s="16" t="s">
        <v>223</v>
      </c>
      <c r="B8" s="16" t="s">
        <v>225</v>
      </c>
      <c r="C8" s="4" t="str">
        <f t="shared" si="0"/>
        <v>AO4812</v>
      </c>
      <c r="D8" s="15" t="s">
        <v>226</v>
      </c>
      <c r="E8" s="16" t="s">
        <v>223</v>
      </c>
      <c r="F8" s="6" t="str">
        <f t="shared" si="1"/>
        <v>Footprints\SOP8.PcbLib</v>
      </c>
      <c r="G8" s="16" t="s">
        <v>156</v>
      </c>
      <c r="J8" s="6" t="s">
        <v>191</v>
      </c>
      <c r="K8" s="6" t="s">
        <v>227</v>
      </c>
      <c r="M8" s="6" t="s">
        <v>45</v>
      </c>
    </row>
    <row r="9" spans="1:13" ht="14.25" customHeight="1">
      <c r="A9" s="16" t="s">
        <v>230</v>
      </c>
      <c r="B9" s="16" t="s">
        <v>231</v>
      </c>
      <c r="C9" s="4" t="str">
        <f t="shared" si="0"/>
        <v>bc807</v>
      </c>
      <c r="D9" s="15" t="s">
        <v>233</v>
      </c>
      <c r="E9" s="16" t="s">
        <v>234</v>
      </c>
      <c r="F9" s="6" t="str">
        <f t="shared" si="1"/>
        <v>Footprints\SOT23-3.PcbLib</v>
      </c>
      <c r="G9" s="15" t="s">
        <v>56</v>
      </c>
      <c r="J9" s="6" t="s">
        <v>238</v>
      </c>
      <c r="K9" s="6" t="s">
        <v>239</v>
      </c>
      <c r="M9" s="6" t="s">
        <v>45</v>
      </c>
    </row>
    <row r="10" spans="1:13" ht="14.25" customHeight="1">
      <c r="A10" s="16" t="s">
        <v>240</v>
      </c>
      <c r="B10" s="16" t="s">
        <v>241</v>
      </c>
      <c r="C10" s="4" t="str">
        <f t="shared" si="0"/>
        <v>AUIRF1405ZSTRL</v>
      </c>
      <c r="D10" s="15" t="s">
        <v>177</v>
      </c>
      <c r="E10" s="15" t="s">
        <v>178</v>
      </c>
      <c r="F10" s="4" t="str">
        <f t="shared" si="1"/>
        <v>Footprints\D2PAK.PcbLib</v>
      </c>
      <c r="G10" s="15" t="s">
        <v>244</v>
      </c>
      <c r="H10" s="4"/>
      <c r="I10" s="4"/>
      <c r="J10" s="6" t="s">
        <v>246</v>
      </c>
      <c r="K10" s="6" t="s">
        <v>247</v>
      </c>
      <c r="M10" s="6" t="s">
        <v>45</v>
      </c>
    </row>
    <row r="11" spans="1:10" ht="14.25" customHeight="1">
      <c r="A11" s="16" t="s">
        <v>248</v>
      </c>
      <c r="B11" s="16" t="s">
        <v>249</v>
      </c>
      <c r="C11" s="4" t="str">
        <f t="shared" si="0"/>
        <v>SIR426DP-T1-GE3</v>
      </c>
      <c r="D11" s="15" t="s">
        <v>250</v>
      </c>
      <c r="E11" s="16" t="s">
        <v>248</v>
      </c>
      <c r="F11" s="6" t="str">
        <f t="shared" si="1"/>
        <v>Footprints\PowerPAK_SO-8.PcbLib</v>
      </c>
      <c r="G11" s="16" t="s">
        <v>252</v>
      </c>
      <c r="J11" s="6" t="s">
        <v>253</v>
      </c>
    </row>
    <row r="12" spans="1:11" ht="14.25" customHeight="1">
      <c r="A12" s="16" t="s">
        <v>256</v>
      </c>
      <c r="B12" s="16" t="s">
        <v>257</v>
      </c>
      <c r="C12" s="4" t="str">
        <f t="shared" si="0"/>
        <v>PDTC114ET</v>
      </c>
      <c r="D12" s="15" t="s">
        <v>258</v>
      </c>
      <c r="E12" s="16" t="s">
        <v>256</v>
      </c>
      <c r="F12" s="6" t="str">
        <f t="shared" si="1"/>
        <v>Footprints\SOT23-3.PcbLib</v>
      </c>
      <c r="G12" s="15" t="s">
        <v>56</v>
      </c>
      <c r="J12" s="6" t="s">
        <v>260</v>
      </c>
      <c r="K12" s="6" t="s">
        <v>262</v>
      </c>
    </row>
    <row r="13" spans="1:11" ht="14.25" customHeight="1">
      <c r="A13" s="16" t="s">
        <v>263</v>
      </c>
      <c r="B13" s="16" t="s">
        <v>174</v>
      </c>
      <c r="C13" s="4" t="str">
        <f t="shared" si="0"/>
        <v>IRFH7084</v>
      </c>
      <c r="D13" s="16" t="s">
        <v>266</v>
      </c>
      <c r="E13" s="16" t="s">
        <v>267</v>
      </c>
      <c r="F13" s="6" t="str">
        <f t="shared" si="1"/>
        <v>Footprints\PQFN_5x6.PcbLib</v>
      </c>
      <c r="G13" s="16" t="s">
        <v>268</v>
      </c>
      <c r="J13" s="6" t="s">
        <v>253</v>
      </c>
      <c r="K13" s="6" t="s">
        <v>270</v>
      </c>
    </row>
    <row r="14" spans="1:13" ht="14.25" customHeight="1">
      <c r="A14" s="16" t="s">
        <v>271</v>
      </c>
      <c r="B14" s="16" t="s">
        <v>272</v>
      </c>
      <c r="C14" s="4" t="str">
        <f t="shared" si="0"/>
        <v>BC857</v>
      </c>
      <c r="D14" s="15" t="s">
        <v>233</v>
      </c>
      <c r="E14" s="16" t="s">
        <v>234</v>
      </c>
      <c r="F14" s="6" t="str">
        <f t="shared" si="1"/>
        <v>Footprints\SOT23-3.PcbLib</v>
      </c>
      <c r="G14" s="15" t="s">
        <v>56</v>
      </c>
      <c r="J14" s="6" t="s">
        <v>238</v>
      </c>
      <c r="K14" s="6" t="s">
        <v>275</v>
      </c>
      <c r="M14" s="6" t="s">
        <v>64</v>
      </c>
    </row>
    <row r="15" spans="1:13" ht="14.25" customHeight="1">
      <c r="A15" s="16" t="s">
        <v>277</v>
      </c>
      <c r="B15" s="15" t="s">
        <v>200</v>
      </c>
      <c r="C15" s="4" t="str">
        <f t="shared" si="0"/>
        <v>IPD90P04P405</v>
      </c>
      <c r="D15" s="15" t="s">
        <v>202</v>
      </c>
      <c r="E15" s="15" t="s">
        <v>209</v>
      </c>
      <c r="F15" s="6" t="str">
        <f t="shared" si="1"/>
        <v>Footprints\DPAK.PcbLib</v>
      </c>
      <c r="G15" s="15" t="s">
        <v>179</v>
      </c>
      <c r="J15" s="6" t="s">
        <v>253</v>
      </c>
      <c r="K15" s="6" t="s">
        <v>192</v>
      </c>
      <c r="M15" s="6" t="s">
        <v>64</v>
      </c>
    </row>
    <row r="16" spans="1:13" ht="14.25" customHeight="1">
      <c r="A16" s="16" t="s">
        <v>284</v>
      </c>
      <c r="B16" s="16" t="s">
        <v>286</v>
      </c>
      <c r="C16" s="4" t="str">
        <f t="shared" si="0"/>
        <v>BC857BS</v>
      </c>
      <c r="D16" s="15" t="s">
        <v>289</v>
      </c>
      <c r="E16" s="16" t="s">
        <v>291</v>
      </c>
      <c r="F16" s="6" t="str">
        <f t="shared" si="1"/>
        <v>Footprints\SOT-363.PcbLib</v>
      </c>
      <c r="G16" s="16" t="s">
        <v>293</v>
      </c>
      <c r="H16" s="6" t="str">
        <f>CONCATENATE("Footprints\",I16,".PcbLib")</f>
        <v>Footprints\SOT-363_35um.PcbLib</v>
      </c>
      <c r="I16" s="6" t="s">
        <v>294</v>
      </c>
      <c r="J16" s="6" t="s">
        <v>238</v>
      </c>
      <c r="K16" s="6" t="s">
        <v>275</v>
      </c>
      <c r="M16" s="6" t="s">
        <v>64</v>
      </c>
    </row>
    <row r="17" spans="1:13" ht="14.25" customHeight="1">
      <c r="A17" s="16" t="s">
        <v>299</v>
      </c>
      <c r="B17" s="15" t="s">
        <v>300</v>
      </c>
      <c r="C17" s="4" t="str">
        <f t="shared" si="0"/>
        <v>IRF9310TR</v>
      </c>
      <c r="D17" s="15" t="s">
        <v>218</v>
      </c>
      <c r="E17" s="15" t="s">
        <v>219</v>
      </c>
      <c r="F17" s="6" t="str">
        <f t="shared" si="1"/>
        <v>Footprints\SOIC-8.PcbLib</v>
      </c>
      <c r="G17" s="16" t="s">
        <v>58</v>
      </c>
      <c r="J17" s="6" t="s">
        <v>191</v>
      </c>
      <c r="K17" s="6" t="s">
        <v>302</v>
      </c>
      <c r="M17" s="6" t="s">
        <v>64</v>
      </c>
    </row>
    <row r="18" spans="1:13" ht="14.25" customHeight="1">
      <c r="A18" s="16" t="s">
        <v>304</v>
      </c>
      <c r="B18" s="16" t="s">
        <v>306</v>
      </c>
      <c r="C18" s="4" t="str">
        <f t="shared" si="0"/>
        <v>IRFH3702</v>
      </c>
      <c r="D18" s="16" t="s">
        <v>266</v>
      </c>
      <c r="E18" s="16" t="s">
        <v>267</v>
      </c>
      <c r="F18" s="6" t="str">
        <f t="shared" si="1"/>
        <v>Footprints\PQFN_3x3.PcbLib</v>
      </c>
      <c r="G18" s="16" t="s">
        <v>307</v>
      </c>
      <c r="J18" s="6" t="s">
        <v>191</v>
      </c>
      <c r="K18" s="6" t="s">
        <v>308</v>
      </c>
      <c r="M18" s="6" t="s">
        <v>64</v>
      </c>
    </row>
    <row r="19" spans="1:13" ht="14.25" customHeight="1">
      <c r="A19" s="16" t="s">
        <v>310</v>
      </c>
      <c r="B19" s="16" t="s">
        <v>313</v>
      </c>
      <c r="C19" s="4" t="str">
        <f t="shared" si="0"/>
        <v>NVMFS5C673NL</v>
      </c>
      <c r="D19" s="16" t="s">
        <v>315</v>
      </c>
      <c r="E19" s="16" t="s">
        <v>316</v>
      </c>
      <c r="F19" s="6" t="str">
        <f t="shared" si="1"/>
        <v>Footprints\DFN5_5x6.PcbLib</v>
      </c>
      <c r="G19" s="16" t="s">
        <v>318</v>
      </c>
      <c r="J19" s="6" t="s">
        <v>183</v>
      </c>
      <c r="K19" s="6" t="s">
        <v>184</v>
      </c>
      <c r="L19" s="14" t="s">
        <v>321</v>
      </c>
      <c r="M19" s="6" t="s">
        <v>64</v>
      </c>
    </row>
    <row r="20" spans="1:13" ht="14.25" customHeight="1">
      <c r="A20" s="16" t="s">
        <v>328</v>
      </c>
      <c r="B20" s="16" t="s">
        <v>313</v>
      </c>
      <c r="C20" s="4" t="str">
        <f t="shared" si="0"/>
        <v>CSD18534Q5A</v>
      </c>
      <c r="D20" s="16" t="s">
        <v>315</v>
      </c>
      <c r="E20" s="16" t="s">
        <v>316</v>
      </c>
      <c r="F20" s="6" t="str">
        <f t="shared" si="1"/>
        <v>Footprints\SON-8_5x6.PcbLib</v>
      </c>
      <c r="G20" s="16" t="s">
        <v>332</v>
      </c>
      <c r="J20" s="6" t="s">
        <v>183</v>
      </c>
      <c r="K20" s="6" t="s">
        <v>184</v>
      </c>
      <c r="L20" s="14" t="s">
        <v>334</v>
      </c>
      <c r="M20" s="6" t="s">
        <v>64</v>
      </c>
    </row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4A8BA326-6D90-478F-A019-76C98A4E7A2B}" filter="1" showAutoFilter="1" topLeftCell="A1">
      <pageMargins left="0.75" right="0.75" top="1" bottom="1" header="0.5" footer="0.5"/>
      <autoFilter ref="A1:M20"/>
    </customSheetView>
  </customSheetViews>
  <hyperlinks>
    <hyperlink ref="L19" r:id="rId1" display="https://www.elitan.ru/pdf/1/0/1/3/3/10133013.pdf"/>
    <hyperlink ref="L20" r:id="rId2" display="https://static.chipdip.ru/lib/647/DOC053647214.pdf"/>
  </hyperlinks>
  <pageMargins left="0.7" right="0.7" top="0.75" bottom="0.75" header="0" footer="0"/>
  <pageSetup orientation="portrait" paperSize="9"/>
  <tableParts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500-000000000000}">
  <dimension ref="A1:O191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21.5714285714286" customWidth="1"/>
    <col min="2" max="2" width="44.5714285714286" customWidth="1"/>
    <col min="3" max="3" width="12.2857142857143" customWidth="1"/>
    <col min="4" max="4" width="24.4285714285714" customWidth="1"/>
    <col min="5" max="5" width="13" customWidth="1"/>
    <col min="6" max="6" width="8.28571428571429" customWidth="1"/>
    <col min="7" max="7" width="12.2857142857143" customWidth="1"/>
    <col min="8" max="8" width="32" customWidth="1"/>
    <col min="9" max="9" width="16.7142857142857" customWidth="1"/>
    <col min="10" max="10" width="41.2857142857143" customWidth="1"/>
    <col min="11" max="11" width="18.2857142857143" customWidth="1"/>
    <col min="12" max="12" width="41.2857142857143" customWidth="1"/>
    <col min="13" max="13" width="18.2857142857143" customWidth="1"/>
    <col min="14" max="14" width="16.7142857142857" customWidth="1"/>
    <col min="15" max="26" width="8.71428571428571" customWidth="1"/>
  </cols>
  <sheetData>
    <row r="1" spans="1:15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16</v>
      </c>
      <c r="G1" s="1" t="s">
        <v>273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7" t="s">
        <v>11</v>
      </c>
      <c r="O1" s="1" t="s">
        <v>13</v>
      </c>
    </row>
    <row r="2" spans="1:15" ht="14.25" customHeight="1">
      <c r="A2" s="15" t="s">
        <v>278</v>
      </c>
      <c r="B2" s="15" t="s">
        <v>279</v>
      </c>
      <c r="C2" s="15" t="s">
        <v>280</v>
      </c>
      <c r="D2" s="15" t="s">
        <v>282</v>
      </c>
      <c r="E2" s="15" t="s">
        <v>280</v>
      </c>
      <c r="F2" s="15" t="s">
        <v>285</v>
      </c>
      <c r="G2" s="19" t="s">
        <v>287</v>
      </c>
      <c r="H2" s="15" t="s">
        <v>290</v>
      </c>
      <c r="I2" s="15" t="s">
        <v>292</v>
      </c>
      <c r="J2" s="16"/>
      <c r="K2" s="16"/>
      <c r="L2" s="16"/>
      <c r="M2" s="16"/>
      <c r="N2" s="22"/>
      <c r="O2" s="16"/>
    </row>
    <row r="3" spans="1:15" ht="14.25" customHeight="1">
      <c r="A3" s="15" t="s">
        <v>297</v>
      </c>
      <c r="B3" s="15" t="s">
        <v>298</v>
      </c>
      <c r="C3" s="15" t="s">
        <v>280</v>
      </c>
      <c r="D3" s="15" t="s">
        <v>282</v>
      </c>
      <c r="E3" s="15" t="s">
        <v>280</v>
      </c>
      <c r="F3" s="15" t="s">
        <v>301</v>
      </c>
      <c r="G3" s="23">
        <v>0.01</v>
      </c>
      <c r="H3" s="15" t="s">
        <v>290</v>
      </c>
      <c r="I3" s="15" t="s">
        <v>292</v>
      </c>
      <c r="J3" s="16"/>
      <c r="K3" s="16"/>
      <c r="L3" s="16"/>
      <c r="M3" s="16"/>
      <c r="N3" s="27"/>
      <c r="O3" s="16"/>
    </row>
    <row r="4" spans="1:15" ht="14.25" customHeight="1">
      <c r="A4" s="15" t="s">
        <v>309</v>
      </c>
      <c r="B4" s="15" t="s">
        <v>311</v>
      </c>
      <c r="C4" s="15" t="s">
        <v>280</v>
      </c>
      <c r="D4" s="15" t="s">
        <v>282</v>
      </c>
      <c r="E4" s="15" t="s">
        <v>280</v>
      </c>
      <c r="F4" s="15" t="s">
        <v>317</v>
      </c>
      <c r="G4" s="23">
        <v>0.01</v>
      </c>
      <c r="H4" s="15" t="s">
        <v>290</v>
      </c>
      <c r="I4" s="15" t="s">
        <v>292</v>
      </c>
      <c r="J4" s="16"/>
      <c r="K4" s="16"/>
      <c r="L4" s="16"/>
      <c r="M4" s="16"/>
      <c r="N4" s="22"/>
      <c r="O4" s="16"/>
    </row>
    <row r="5" spans="1:15" ht="14.25" customHeight="1">
      <c r="A5" s="15" t="s">
        <v>325</v>
      </c>
      <c r="B5" s="15" t="s">
        <v>326</v>
      </c>
      <c r="C5" s="15" t="s">
        <v>280</v>
      </c>
      <c r="D5" s="15" t="s">
        <v>282</v>
      </c>
      <c r="E5" s="15" t="s">
        <v>280</v>
      </c>
      <c r="F5" s="15" t="s">
        <v>329</v>
      </c>
      <c r="G5" s="23">
        <v>0.01</v>
      </c>
      <c r="H5" s="15" t="s">
        <v>290</v>
      </c>
      <c r="I5" s="15" t="s">
        <v>292</v>
      </c>
      <c r="J5" s="16"/>
      <c r="K5" s="16"/>
      <c r="L5" s="16"/>
      <c r="M5" s="16"/>
      <c r="N5" s="27"/>
      <c r="O5" s="16"/>
    </row>
    <row r="6" spans="1:15" ht="14.25" customHeight="1">
      <c r="A6" s="15" t="s">
        <v>336</v>
      </c>
      <c r="B6" s="15" t="s">
        <v>337</v>
      </c>
      <c r="C6" s="15" t="s">
        <v>280</v>
      </c>
      <c r="D6" s="15" t="s">
        <v>282</v>
      </c>
      <c r="E6" s="15" t="s">
        <v>280</v>
      </c>
      <c r="F6" s="15" t="s">
        <v>339</v>
      </c>
      <c r="G6" s="23">
        <v>0.01</v>
      </c>
      <c r="H6" s="15" t="s">
        <v>290</v>
      </c>
      <c r="I6" s="15" t="s">
        <v>292</v>
      </c>
      <c r="J6" s="16"/>
      <c r="K6" s="16"/>
      <c r="L6" s="16"/>
      <c r="M6" s="16"/>
      <c r="N6" s="22"/>
      <c r="O6" s="16"/>
    </row>
    <row r="7" spans="1:15" ht="14.25" customHeight="1">
      <c r="A7" s="15" t="s">
        <v>344</v>
      </c>
      <c r="B7" s="15" t="s">
        <v>346</v>
      </c>
      <c r="C7" s="15" t="s">
        <v>280</v>
      </c>
      <c r="D7" s="15" t="s">
        <v>282</v>
      </c>
      <c r="E7" s="15" t="s">
        <v>280</v>
      </c>
      <c r="F7" s="15" t="s">
        <v>347</v>
      </c>
      <c r="G7" s="23">
        <v>0.01</v>
      </c>
      <c r="H7" s="15" t="s">
        <v>290</v>
      </c>
      <c r="I7" s="15" t="s">
        <v>292</v>
      </c>
      <c r="J7" s="16"/>
      <c r="K7" s="16"/>
      <c r="L7" s="16"/>
      <c r="M7" s="16"/>
      <c r="N7" s="27"/>
      <c r="O7" s="16"/>
    </row>
    <row r="8" spans="1:15" ht="14.25" customHeight="1">
      <c r="A8" s="15" t="s">
        <v>350</v>
      </c>
      <c r="B8" s="15" t="s">
        <v>351</v>
      </c>
      <c r="C8" s="15" t="s">
        <v>280</v>
      </c>
      <c r="D8" s="15" t="s">
        <v>282</v>
      </c>
      <c r="E8" s="15" t="s">
        <v>280</v>
      </c>
      <c r="F8" s="15" t="s">
        <v>352</v>
      </c>
      <c r="G8" s="23">
        <v>0.01</v>
      </c>
      <c r="H8" s="15" t="s">
        <v>290</v>
      </c>
      <c r="I8" s="15" t="s">
        <v>292</v>
      </c>
      <c r="J8" s="16"/>
      <c r="K8" s="16"/>
      <c r="L8" s="16"/>
      <c r="M8" s="16"/>
      <c r="N8" s="22"/>
      <c r="O8" s="16"/>
    </row>
    <row r="9" spans="1:15" ht="14.25" customHeight="1">
      <c r="A9" s="15" t="s">
        <v>357</v>
      </c>
      <c r="B9" s="15" t="s">
        <v>359</v>
      </c>
      <c r="C9" s="15" t="s">
        <v>280</v>
      </c>
      <c r="D9" s="15" t="s">
        <v>282</v>
      </c>
      <c r="E9" s="15" t="s">
        <v>280</v>
      </c>
      <c r="F9" s="15" t="s">
        <v>360</v>
      </c>
      <c r="G9" s="23">
        <v>0.01</v>
      </c>
      <c r="H9" s="15" t="s">
        <v>290</v>
      </c>
      <c r="I9" s="15" t="s">
        <v>292</v>
      </c>
      <c r="J9" s="16"/>
      <c r="K9" s="16"/>
      <c r="L9" s="16"/>
      <c r="M9" s="16"/>
      <c r="N9" s="27"/>
      <c r="O9" s="16"/>
    </row>
    <row r="10" spans="1:15" ht="14.25" customHeight="1">
      <c r="A10" s="15" t="s">
        <v>363</v>
      </c>
      <c r="B10" s="15" t="s">
        <v>367</v>
      </c>
      <c r="C10" s="15" t="s">
        <v>280</v>
      </c>
      <c r="D10" s="15" t="s">
        <v>282</v>
      </c>
      <c r="E10" s="15" t="s">
        <v>280</v>
      </c>
      <c r="F10" s="15" t="s">
        <v>368</v>
      </c>
      <c r="G10" s="23">
        <v>0.01</v>
      </c>
      <c r="H10" s="15" t="s">
        <v>290</v>
      </c>
      <c r="I10" s="15" t="s">
        <v>292</v>
      </c>
      <c r="J10" s="16"/>
      <c r="K10" s="16"/>
      <c r="L10" s="16"/>
      <c r="M10" s="16"/>
      <c r="N10" s="22"/>
      <c r="O10" s="16"/>
    </row>
    <row r="11" spans="1:15" ht="14.25" customHeight="1">
      <c r="A11" s="15" t="s">
        <v>372</v>
      </c>
      <c r="B11" s="15" t="s">
        <v>374</v>
      </c>
      <c r="C11" s="15" t="s">
        <v>280</v>
      </c>
      <c r="D11" s="15" t="s">
        <v>282</v>
      </c>
      <c r="E11" s="15" t="s">
        <v>280</v>
      </c>
      <c r="F11" s="15" t="s">
        <v>375</v>
      </c>
      <c r="G11" s="23">
        <v>0.01</v>
      </c>
      <c r="H11" s="15" t="s">
        <v>290</v>
      </c>
      <c r="I11" s="15" t="s">
        <v>292</v>
      </c>
      <c r="J11" s="16"/>
      <c r="K11" s="16"/>
      <c r="L11" s="16"/>
      <c r="M11" s="16"/>
      <c r="N11" s="27"/>
      <c r="O11" s="16"/>
    </row>
    <row r="12" spans="1:15" ht="14.25" customHeight="1">
      <c r="A12" s="15" t="s">
        <v>379</v>
      </c>
      <c r="B12" s="15" t="s">
        <v>380</v>
      </c>
      <c r="C12" s="15" t="s">
        <v>280</v>
      </c>
      <c r="D12" s="15" t="s">
        <v>282</v>
      </c>
      <c r="E12" s="15" t="s">
        <v>280</v>
      </c>
      <c r="F12" s="15" t="s">
        <v>381</v>
      </c>
      <c r="G12" s="23">
        <v>0.01</v>
      </c>
      <c r="H12" s="15" t="s">
        <v>290</v>
      </c>
      <c r="I12" s="15" t="s">
        <v>292</v>
      </c>
      <c r="J12" s="16"/>
      <c r="K12" s="16"/>
      <c r="L12" s="16"/>
      <c r="M12" s="16"/>
      <c r="N12" s="22"/>
      <c r="O12" s="16"/>
    </row>
    <row r="13" spans="1:15" ht="14.25" customHeight="1">
      <c r="A13" s="15" t="s">
        <v>384</v>
      </c>
      <c r="B13" s="15" t="s">
        <v>385</v>
      </c>
      <c r="C13" s="15" t="s">
        <v>280</v>
      </c>
      <c r="D13" s="15" t="s">
        <v>282</v>
      </c>
      <c r="E13" s="15" t="s">
        <v>280</v>
      </c>
      <c r="F13" s="15" t="s">
        <v>388</v>
      </c>
      <c r="G13" s="23">
        <v>0.01</v>
      </c>
      <c r="H13" s="15" t="s">
        <v>290</v>
      </c>
      <c r="I13" s="15" t="s">
        <v>292</v>
      </c>
      <c r="J13" s="16"/>
      <c r="K13" s="16"/>
      <c r="L13" s="16"/>
      <c r="M13" s="16"/>
      <c r="N13" s="27"/>
      <c r="O13" s="16"/>
    </row>
    <row r="14" spans="1:15" ht="14.25" customHeight="1">
      <c r="A14" s="15" t="s">
        <v>390</v>
      </c>
      <c r="B14" s="15" t="s">
        <v>392</v>
      </c>
      <c r="C14" s="15" t="s">
        <v>280</v>
      </c>
      <c r="D14" s="15" t="s">
        <v>282</v>
      </c>
      <c r="E14" s="15" t="s">
        <v>280</v>
      </c>
      <c r="F14" s="15" t="s">
        <v>394</v>
      </c>
      <c r="G14" s="23">
        <v>0.01</v>
      </c>
      <c r="H14" s="15" t="s">
        <v>290</v>
      </c>
      <c r="I14" s="15" t="s">
        <v>292</v>
      </c>
      <c r="J14" s="16"/>
      <c r="K14" s="16"/>
      <c r="L14" s="16"/>
      <c r="M14" s="16"/>
      <c r="N14" s="22"/>
      <c r="O14" s="16"/>
    </row>
    <row r="15" spans="1:15" ht="14.25" customHeight="1">
      <c r="A15" s="15" t="s">
        <v>396</v>
      </c>
      <c r="B15" s="15" t="s">
        <v>397</v>
      </c>
      <c r="C15" s="15" t="s">
        <v>280</v>
      </c>
      <c r="D15" s="15" t="s">
        <v>282</v>
      </c>
      <c r="E15" s="15" t="s">
        <v>280</v>
      </c>
      <c r="F15" s="15" t="s">
        <v>400</v>
      </c>
      <c r="G15" s="23">
        <v>0.01</v>
      </c>
      <c r="H15" s="15" t="s">
        <v>290</v>
      </c>
      <c r="I15" s="15" t="s">
        <v>292</v>
      </c>
      <c r="J15" s="16"/>
      <c r="K15" s="16"/>
      <c r="L15" s="16"/>
      <c r="M15" s="16"/>
      <c r="N15" s="27"/>
      <c r="O15" s="16"/>
    </row>
    <row r="16" spans="1:15" ht="14.25" customHeight="1">
      <c r="A16" s="15" t="s">
        <v>402</v>
      </c>
      <c r="B16" s="15" t="s">
        <v>403</v>
      </c>
      <c r="C16" s="15" t="s">
        <v>280</v>
      </c>
      <c r="D16" s="15" t="s">
        <v>282</v>
      </c>
      <c r="E16" s="15" t="s">
        <v>280</v>
      </c>
      <c r="F16" s="15" t="s">
        <v>404</v>
      </c>
      <c r="G16" s="23">
        <v>0.01</v>
      </c>
      <c r="H16" s="15" t="s">
        <v>290</v>
      </c>
      <c r="I16" s="15" t="s">
        <v>292</v>
      </c>
      <c r="J16" s="16"/>
      <c r="K16" s="16"/>
      <c r="L16" s="16"/>
      <c r="M16" s="16"/>
      <c r="N16" s="22"/>
      <c r="O16" s="16"/>
    </row>
    <row r="17" spans="1:15" ht="14.25" customHeight="1">
      <c r="A17" s="15" t="s">
        <v>407</v>
      </c>
      <c r="B17" s="15" t="s">
        <v>408</v>
      </c>
      <c r="C17" s="15" t="s">
        <v>280</v>
      </c>
      <c r="D17" s="15" t="s">
        <v>282</v>
      </c>
      <c r="E17" s="15" t="s">
        <v>280</v>
      </c>
      <c r="F17" s="15" t="s">
        <v>409</v>
      </c>
      <c r="G17" s="23">
        <v>0.01</v>
      </c>
      <c r="H17" s="15" t="s">
        <v>290</v>
      </c>
      <c r="I17" s="15" t="s">
        <v>292</v>
      </c>
      <c r="J17" s="16"/>
      <c r="K17" s="16"/>
      <c r="L17" s="16"/>
      <c r="M17" s="16"/>
      <c r="N17" s="27"/>
      <c r="O17" s="16"/>
    </row>
    <row r="18" spans="1:15" ht="14.25" customHeight="1">
      <c r="A18" s="15" t="s">
        <v>412</v>
      </c>
      <c r="B18" s="15" t="s">
        <v>414</v>
      </c>
      <c r="C18" s="15" t="s">
        <v>280</v>
      </c>
      <c r="D18" s="15" t="s">
        <v>282</v>
      </c>
      <c r="E18" s="15" t="s">
        <v>280</v>
      </c>
      <c r="F18" s="15" t="s">
        <v>416</v>
      </c>
      <c r="G18" s="23">
        <v>0.01</v>
      </c>
      <c r="H18" s="15" t="s">
        <v>290</v>
      </c>
      <c r="I18" s="15" t="s">
        <v>292</v>
      </c>
      <c r="J18" s="16"/>
      <c r="K18" s="16"/>
      <c r="L18" s="16"/>
      <c r="M18" s="16"/>
      <c r="N18" s="22"/>
      <c r="O18" s="16"/>
    </row>
    <row r="19" spans="1:15" ht="14.25" customHeight="1">
      <c r="A19" s="15" t="s">
        <v>421</v>
      </c>
      <c r="B19" s="15" t="s">
        <v>422</v>
      </c>
      <c r="C19" s="15" t="s">
        <v>280</v>
      </c>
      <c r="D19" s="15" t="s">
        <v>282</v>
      </c>
      <c r="E19" s="15" t="s">
        <v>280</v>
      </c>
      <c r="F19" s="15" t="s">
        <v>423</v>
      </c>
      <c r="G19" s="23">
        <v>0.01</v>
      </c>
      <c r="H19" s="15" t="s">
        <v>290</v>
      </c>
      <c r="I19" s="15" t="s">
        <v>292</v>
      </c>
      <c r="J19" s="16"/>
      <c r="K19" s="16"/>
      <c r="L19" s="16"/>
      <c r="M19" s="16"/>
      <c r="N19" s="27"/>
      <c r="O19" s="16"/>
    </row>
    <row r="20" spans="1:15" ht="14.25" customHeight="1">
      <c r="A20" s="15" t="s">
        <v>429</v>
      </c>
      <c r="B20" s="15" t="s">
        <v>432</v>
      </c>
      <c r="C20" s="15" t="s">
        <v>280</v>
      </c>
      <c r="D20" s="15" t="s">
        <v>282</v>
      </c>
      <c r="E20" s="15" t="s">
        <v>280</v>
      </c>
      <c r="F20" s="15" t="s">
        <v>436</v>
      </c>
      <c r="G20" s="23">
        <v>0.01</v>
      </c>
      <c r="H20" s="15" t="s">
        <v>290</v>
      </c>
      <c r="I20" s="15" t="s">
        <v>292</v>
      </c>
      <c r="J20" s="16"/>
      <c r="K20" s="16"/>
      <c r="L20" s="16"/>
      <c r="M20" s="16"/>
      <c r="N20" s="22"/>
      <c r="O20" s="16"/>
    </row>
    <row r="21" spans="1:15" ht="14.25" customHeight="1">
      <c r="A21" s="15" t="s">
        <v>442</v>
      </c>
      <c r="B21" s="15" t="s">
        <v>443</v>
      </c>
      <c r="C21" s="15" t="s">
        <v>280</v>
      </c>
      <c r="D21" s="15" t="s">
        <v>282</v>
      </c>
      <c r="E21" s="15" t="s">
        <v>280</v>
      </c>
      <c r="F21" s="15" t="s">
        <v>445</v>
      </c>
      <c r="G21" s="23">
        <v>0.01</v>
      </c>
      <c r="H21" s="15" t="s">
        <v>290</v>
      </c>
      <c r="I21" s="15" t="s">
        <v>292</v>
      </c>
      <c r="J21" s="16"/>
      <c r="K21" s="16"/>
      <c r="L21" s="16"/>
      <c r="M21" s="16"/>
      <c r="N21" s="27"/>
      <c r="O21" s="16"/>
    </row>
    <row r="22" spans="1:15" ht="14.25" customHeight="1">
      <c r="A22" s="15" t="s">
        <v>451</v>
      </c>
      <c r="B22" s="15" t="s">
        <v>452</v>
      </c>
      <c r="C22" s="15" t="s">
        <v>280</v>
      </c>
      <c r="D22" s="15" t="s">
        <v>282</v>
      </c>
      <c r="E22" s="15" t="s">
        <v>280</v>
      </c>
      <c r="F22" s="15" t="s">
        <v>453</v>
      </c>
      <c r="G22" s="23">
        <v>0.01</v>
      </c>
      <c r="H22" s="15" t="s">
        <v>290</v>
      </c>
      <c r="I22" s="15" t="s">
        <v>292</v>
      </c>
      <c r="J22" s="16"/>
      <c r="K22" s="16"/>
      <c r="L22" s="16"/>
      <c r="M22" s="16"/>
      <c r="N22" s="22"/>
      <c r="O22" s="16"/>
    </row>
    <row r="23" spans="1:15" ht="14.25" customHeight="1">
      <c r="A23" s="15" t="s">
        <v>458</v>
      </c>
      <c r="B23" s="15" t="s">
        <v>460</v>
      </c>
      <c r="C23" s="15" t="s">
        <v>280</v>
      </c>
      <c r="D23" s="15" t="s">
        <v>282</v>
      </c>
      <c r="E23" s="15" t="s">
        <v>280</v>
      </c>
      <c r="F23" s="15" t="s">
        <v>463</v>
      </c>
      <c r="G23" s="23">
        <v>0.01</v>
      </c>
      <c r="H23" s="15" t="s">
        <v>290</v>
      </c>
      <c r="I23" s="15" t="s">
        <v>292</v>
      </c>
      <c r="J23" s="16"/>
      <c r="K23" s="16"/>
      <c r="L23" s="16"/>
      <c r="M23" s="16"/>
      <c r="N23" s="27"/>
      <c r="O23" s="16"/>
    </row>
    <row r="24" spans="1:15" ht="14.25" customHeight="1">
      <c r="A24" s="15" t="s">
        <v>469</v>
      </c>
      <c r="B24" s="15" t="s">
        <v>470</v>
      </c>
      <c r="C24" s="15" t="s">
        <v>280</v>
      </c>
      <c r="D24" s="15" t="s">
        <v>282</v>
      </c>
      <c r="E24" s="15" t="s">
        <v>280</v>
      </c>
      <c r="F24" s="15" t="s">
        <v>474</v>
      </c>
      <c r="G24" s="23">
        <v>0.01</v>
      </c>
      <c r="H24" s="15" t="s">
        <v>290</v>
      </c>
      <c r="I24" s="15" t="s">
        <v>292</v>
      </c>
      <c r="J24" s="16"/>
      <c r="K24" s="16"/>
      <c r="L24" s="16"/>
      <c r="M24" s="16"/>
      <c r="N24" s="22"/>
      <c r="O24" s="16"/>
    </row>
    <row r="25" spans="1:15" ht="14.25" customHeight="1">
      <c r="A25" s="15" t="s">
        <v>478</v>
      </c>
      <c r="B25" s="15" t="s">
        <v>479</v>
      </c>
      <c r="C25" s="15" t="s">
        <v>280</v>
      </c>
      <c r="D25" s="15" t="s">
        <v>282</v>
      </c>
      <c r="E25" s="15" t="s">
        <v>280</v>
      </c>
      <c r="F25" s="15" t="s">
        <v>480</v>
      </c>
      <c r="G25" s="23">
        <v>0.01</v>
      </c>
      <c r="H25" s="15" t="s">
        <v>290</v>
      </c>
      <c r="I25" s="15" t="s">
        <v>292</v>
      </c>
      <c r="J25" s="16"/>
      <c r="K25" s="16"/>
      <c r="L25" s="16"/>
      <c r="M25" s="16"/>
      <c r="N25" s="27"/>
      <c r="O25" s="16"/>
    </row>
    <row r="26" spans="1:15" ht="14.25" customHeight="1">
      <c r="A26" s="15" t="s">
        <v>484</v>
      </c>
      <c r="B26" s="15" t="s">
        <v>485</v>
      </c>
      <c r="C26" s="15" t="s">
        <v>280</v>
      </c>
      <c r="D26" s="15" t="s">
        <v>282</v>
      </c>
      <c r="E26" s="15" t="s">
        <v>280</v>
      </c>
      <c r="F26" s="15" t="s">
        <v>84</v>
      </c>
      <c r="G26" s="23">
        <v>0.01</v>
      </c>
      <c r="H26" s="15" t="s">
        <v>290</v>
      </c>
      <c r="I26" s="15" t="s">
        <v>292</v>
      </c>
      <c r="J26" s="16"/>
      <c r="K26" s="16"/>
      <c r="L26" s="16"/>
      <c r="M26" s="16"/>
      <c r="N26" s="22"/>
      <c r="O26" s="16"/>
    </row>
    <row r="27" spans="1:15" ht="14.25" customHeight="1">
      <c r="A27" s="15" t="s">
        <v>486</v>
      </c>
      <c r="B27" s="15" t="s">
        <v>488</v>
      </c>
      <c r="C27" s="15" t="s">
        <v>280</v>
      </c>
      <c r="D27" s="15" t="s">
        <v>282</v>
      </c>
      <c r="E27" s="15" t="s">
        <v>280</v>
      </c>
      <c r="F27" s="15" t="s">
        <v>57</v>
      </c>
      <c r="G27" s="23">
        <v>0.01</v>
      </c>
      <c r="H27" s="15" t="s">
        <v>290</v>
      </c>
      <c r="I27" s="15" t="s">
        <v>292</v>
      </c>
      <c r="J27" s="16"/>
      <c r="K27" s="16"/>
      <c r="L27" s="16"/>
      <c r="M27" s="16"/>
      <c r="N27" s="27"/>
      <c r="O27" s="16"/>
    </row>
    <row r="28" spans="1:15" ht="14.25" customHeight="1">
      <c r="A28" s="15" t="s">
        <v>498</v>
      </c>
      <c r="B28" s="15" t="s">
        <v>499</v>
      </c>
      <c r="C28" s="15" t="s">
        <v>280</v>
      </c>
      <c r="D28" s="15" t="s">
        <v>282</v>
      </c>
      <c r="E28" s="15" t="s">
        <v>280</v>
      </c>
      <c r="F28" s="15" t="s">
        <v>29</v>
      </c>
      <c r="G28" s="23">
        <v>0.01</v>
      </c>
      <c r="H28" s="15" t="s">
        <v>290</v>
      </c>
      <c r="I28" s="15" t="s">
        <v>292</v>
      </c>
      <c r="J28" s="16"/>
      <c r="K28" s="16"/>
      <c r="L28" s="16"/>
      <c r="M28" s="16"/>
      <c r="N28" s="22"/>
      <c r="O28" s="16"/>
    </row>
    <row r="29" spans="1:15" ht="14.25" customHeight="1">
      <c r="A29" s="15" t="s">
        <v>508</v>
      </c>
      <c r="B29" s="15" t="s">
        <v>509</v>
      </c>
      <c r="C29" s="15" t="s">
        <v>280</v>
      </c>
      <c r="D29" s="15" t="s">
        <v>282</v>
      </c>
      <c r="E29" s="15" t="s">
        <v>280</v>
      </c>
      <c r="F29" s="15" t="s">
        <v>510</v>
      </c>
      <c r="G29" s="23">
        <v>0.01</v>
      </c>
      <c r="H29" s="15" t="s">
        <v>290</v>
      </c>
      <c r="I29" s="15" t="s">
        <v>292</v>
      </c>
      <c r="J29" s="16"/>
      <c r="K29" s="16"/>
      <c r="L29" s="16"/>
      <c r="M29" s="16"/>
      <c r="N29" s="27"/>
      <c r="O29" s="16"/>
    </row>
    <row r="30" spans="1:15" ht="14.25" customHeight="1">
      <c r="A30" s="15" t="s">
        <v>519</v>
      </c>
      <c r="B30" s="15" t="s">
        <v>521</v>
      </c>
      <c r="C30" s="15" t="s">
        <v>280</v>
      </c>
      <c r="D30" s="15" t="s">
        <v>282</v>
      </c>
      <c r="E30" s="15" t="s">
        <v>280</v>
      </c>
      <c r="F30" s="15" t="s">
        <v>525</v>
      </c>
      <c r="G30" s="23">
        <v>0.01</v>
      </c>
      <c r="H30" s="15" t="s">
        <v>290</v>
      </c>
      <c r="I30" s="15" t="s">
        <v>292</v>
      </c>
      <c r="J30" s="16"/>
      <c r="K30" s="16"/>
      <c r="L30" s="16"/>
      <c r="M30" s="16"/>
      <c r="N30" s="22"/>
      <c r="O30" s="16"/>
    </row>
    <row r="31" spans="1:15" ht="14.25" customHeight="1">
      <c r="A31" s="15" t="s">
        <v>532</v>
      </c>
      <c r="B31" s="15" t="s">
        <v>533</v>
      </c>
      <c r="C31" s="15" t="s">
        <v>280</v>
      </c>
      <c r="D31" s="15" t="s">
        <v>282</v>
      </c>
      <c r="E31" s="15" t="s">
        <v>280</v>
      </c>
      <c r="F31" s="15" t="s">
        <v>534</v>
      </c>
      <c r="G31" s="23">
        <v>0.01</v>
      </c>
      <c r="H31" s="15" t="s">
        <v>290</v>
      </c>
      <c r="I31" s="15" t="s">
        <v>292</v>
      </c>
      <c r="J31" s="16"/>
      <c r="K31" s="16"/>
      <c r="L31" s="16"/>
      <c r="M31" s="16"/>
      <c r="N31" s="27"/>
      <c r="O31" s="16"/>
    </row>
    <row r="32" spans="1:15" ht="14.25" customHeight="1">
      <c r="A32" s="15" t="s">
        <v>535</v>
      </c>
      <c r="B32" s="15" t="s">
        <v>536</v>
      </c>
      <c r="C32" s="15" t="s">
        <v>280</v>
      </c>
      <c r="D32" s="15" t="s">
        <v>282</v>
      </c>
      <c r="E32" s="15" t="s">
        <v>280</v>
      </c>
      <c r="F32" s="15" t="s">
        <v>537</v>
      </c>
      <c r="G32" s="23">
        <v>0.01</v>
      </c>
      <c r="H32" s="15" t="s">
        <v>290</v>
      </c>
      <c r="I32" s="15" t="s">
        <v>292</v>
      </c>
      <c r="J32" s="16"/>
      <c r="K32" s="16"/>
      <c r="L32" s="16"/>
      <c r="M32" s="16"/>
      <c r="N32" s="22"/>
      <c r="O32" s="16"/>
    </row>
    <row r="33" spans="1:15" ht="14.25" customHeight="1">
      <c r="A33" s="15" t="s">
        <v>540</v>
      </c>
      <c r="B33" s="15" t="s">
        <v>541</v>
      </c>
      <c r="C33" s="15" t="s">
        <v>280</v>
      </c>
      <c r="D33" s="15" t="s">
        <v>282</v>
      </c>
      <c r="E33" s="15" t="s">
        <v>280</v>
      </c>
      <c r="F33" s="15" t="s">
        <v>74</v>
      </c>
      <c r="G33" s="23">
        <v>0.01</v>
      </c>
      <c r="H33" s="15" t="s">
        <v>290</v>
      </c>
      <c r="I33" s="15" t="s">
        <v>292</v>
      </c>
      <c r="J33" s="16"/>
      <c r="K33" s="16"/>
      <c r="L33" s="16"/>
      <c r="M33" s="16"/>
      <c r="N33" s="27"/>
      <c r="O33" s="16"/>
    </row>
    <row r="34" spans="1:15" ht="14.25" customHeight="1">
      <c r="A34" s="15" t="s">
        <v>545</v>
      </c>
      <c r="B34" s="15" t="s">
        <v>546</v>
      </c>
      <c r="C34" s="15" t="s">
        <v>280</v>
      </c>
      <c r="D34" s="15" t="s">
        <v>282</v>
      </c>
      <c r="E34" s="15" t="s">
        <v>280</v>
      </c>
      <c r="F34" s="15" t="s">
        <v>549</v>
      </c>
      <c r="G34" s="23">
        <v>0.01</v>
      </c>
      <c r="H34" s="15" t="s">
        <v>290</v>
      </c>
      <c r="I34" s="15" t="s">
        <v>292</v>
      </c>
      <c r="J34" s="16"/>
      <c r="K34" s="16"/>
      <c r="L34" s="16"/>
      <c r="M34" s="16"/>
      <c r="N34" s="22"/>
      <c r="O34" s="16"/>
    </row>
    <row r="35" spans="1:15" ht="14.25" customHeight="1">
      <c r="A35" s="15" t="s">
        <v>552</v>
      </c>
      <c r="B35" s="15" t="s">
        <v>553</v>
      </c>
      <c r="C35" s="15" t="s">
        <v>280</v>
      </c>
      <c r="D35" s="15" t="s">
        <v>282</v>
      </c>
      <c r="E35" s="15" t="s">
        <v>280</v>
      </c>
      <c r="F35" s="15" t="s">
        <v>556</v>
      </c>
      <c r="G35" s="23">
        <v>0.01</v>
      </c>
      <c r="H35" s="15" t="s">
        <v>290</v>
      </c>
      <c r="I35" s="15" t="s">
        <v>292</v>
      </c>
      <c r="J35" s="16"/>
      <c r="K35" s="16"/>
      <c r="L35" s="16"/>
      <c r="M35" s="16"/>
      <c r="N35" s="27"/>
      <c r="O35" s="16"/>
    </row>
    <row r="36" spans="1:15" ht="14.25" customHeight="1">
      <c r="A36" s="15" t="s">
        <v>559</v>
      </c>
      <c r="B36" s="15" t="s">
        <v>560</v>
      </c>
      <c r="C36" s="15" t="s">
        <v>280</v>
      </c>
      <c r="D36" s="15" t="s">
        <v>282</v>
      </c>
      <c r="E36" s="15" t="s">
        <v>280</v>
      </c>
      <c r="F36" s="15" t="s">
        <v>562</v>
      </c>
      <c r="G36" s="23">
        <v>0.01</v>
      </c>
      <c r="H36" s="15" t="s">
        <v>290</v>
      </c>
      <c r="I36" s="15" t="s">
        <v>292</v>
      </c>
      <c r="J36" s="16"/>
      <c r="K36" s="16"/>
      <c r="L36" s="16"/>
      <c r="M36" s="16"/>
      <c r="N36" s="22"/>
      <c r="O36" s="16"/>
    </row>
    <row r="37" spans="1:15" ht="14.25" customHeight="1">
      <c r="A37" s="15" t="s">
        <v>563</v>
      </c>
      <c r="B37" s="15" t="s">
        <v>565</v>
      </c>
      <c r="C37" s="15" t="s">
        <v>280</v>
      </c>
      <c r="D37" s="15" t="s">
        <v>282</v>
      </c>
      <c r="E37" s="15" t="s">
        <v>280</v>
      </c>
      <c r="F37" s="15" t="s">
        <v>566</v>
      </c>
      <c r="G37" s="23">
        <v>0.01</v>
      </c>
      <c r="H37" s="15" t="s">
        <v>290</v>
      </c>
      <c r="I37" s="15" t="s">
        <v>292</v>
      </c>
      <c r="J37" s="16"/>
      <c r="K37" s="16"/>
      <c r="L37" s="16"/>
      <c r="M37" s="16"/>
      <c r="N37" s="27"/>
      <c r="O37" s="16"/>
    </row>
    <row r="38" spans="1:15" ht="14.25" customHeight="1">
      <c r="A38" s="15" t="s">
        <v>569</v>
      </c>
      <c r="B38" s="15" t="s">
        <v>570</v>
      </c>
      <c r="C38" s="15" t="s">
        <v>280</v>
      </c>
      <c r="D38" s="15" t="s">
        <v>282</v>
      </c>
      <c r="E38" s="15" t="s">
        <v>280</v>
      </c>
      <c r="F38" s="15" t="s">
        <v>572</v>
      </c>
      <c r="G38" s="23">
        <v>0.01</v>
      </c>
      <c r="H38" s="15" t="s">
        <v>290</v>
      </c>
      <c r="I38" s="15" t="s">
        <v>292</v>
      </c>
      <c r="J38" s="16"/>
      <c r="K38" s="16"/>
      <c r="L38" s="16"/>
      <c r="M38" s="16"/>
      <c r="N38" s="22"/>
      <c r="O38" s="16"/>
    </row>
    <row r="39" spans="1:15" ht="14.25" customHeight="1">
      <c r="A39" s="15" t="s">
        <v>578</v>
      </c>
      <c r="B39" s="15" t="s">
        <v>579</v>
      </c>
      <c r="C39" s="15" t="s">
        <v>280</v>
      </c>
      <c r="D39" s="15" t="s">
        <v>282</v>
      </c>
      <c r="E39" s="15" t="s">
        <v>280</v>
      </c>
      <c r="F39" s="15" t="s">
        <v>583</v>
      </c>
      <c r="G39" s="23">
        <v>0.01</v>
      </c>
      <c r="H39" s="15" t="s">
        <v>290</v>
      </c>
      <c r="I39" s="15" t="s">
        <v>292</v>
      </c>
      <c r="J39" s="16"/>
      <c r="K39" s="16"/>
      <c r="L39" s="16"/>
      <c r="M39" s="16"/>
      <c r="N39" s="27"/>
      <c r="O39" s="16"/>
    </row>
    <row r="40" spans="1:15" ht="14.25" customHeight="1">
      <c r="A40" s="15" t="s">
        <v>587</v>
      </c>
      <c r="B40" s="15" t="s">
        <v>591</v>
      </c>
      <c r="C40" s="15" t="s">
        <v>280</v>
      </c>
      <c r="D40" s="15" t="s">
        <v>282</v>
      </c>
      <c r="E40" s="15" t="s">
        <v>280</v>
      </c>
      <c r="F40" s="15" t="s">
        <v>592</v>
      </c>
      <c r="G40" s="23">
        <v>0.01</v>
      </c>
      <c r="H40" s="15" t="s">
        <v>290</v>
      </c>
      <c r="I40" s="15" t="s">
        <v>292</v>
      </c>
      <c r="J40" s="16"/>
      <c r="K40" s="16"/>
      <c r="L40" s="16"/>
      <c r="M40" s="16"/>
      <c r="N40" s="22"/>
      <c r="O40" s="16"/>
    </row>
    <row r="41" spans="1:15" ht="14.25" customHeight="1">
      <c r="A41" s="15" t="s">
        <v>597</v>
      </c>
      <c r="B41" s="15" t="s">
        <v>598</v>
      </c>
      <c r="C41" s="15" t="s">
        <v>280</v>
      </c>
      <c r="D41" s="15" t="s">
        <v>282</v>
      </c>
      <c r="E41" s="15" t="s">
        <v>280</v>
      </c>
      <c r="F41" s="15" t="s">
        <v>601</v>
      </c>
      <c r="G41" s="23">
        <v>0.01</v>
      </c>
      <c r="H41" s="15" t="s">
        <v>290</v>
      </c>
      <c r="I41" s="15" t="s">
        <v>292</v>
      </c>
      <c r="J41" s="16"/>
      <c r="K41" s="16"/>
      <c r="L41" s="16"/>
      <c r="M41" s="16"/>
      <c r="N41" s="27"/>
      <c r="O41" s="16"/>
    </row>
    <row r="42" spans="1:15" ht="14.25" customHeight="1">
      <c r="A42" s="15" t="s">
        <v>605</v>
      </c>
      <c r="B42" s="15" t="s">
        <v>607</v>
      </c>
      <c r="C42" s="15" t="s">
        <v>280</v>
      </c>
      <c r="D42" s="15" t="s">
        <v>282</v>
      </c>
      <c r="E42" s="15" t="s">
        <v>280</v>
      </c>
      <c r="F42" s="15" t="s">
        <v>609</v>
      </c>
      <c r="G42" s="23">
        <v>0.01</v>
      </c>
      <c r="H42" s="15" t="s">
        <v>290</v>
      </c>
      <c r="I42" s="15" t="s">
        <v>292</v>
      </c>
      <c r="J42" s="16"/>
      <c r="K42" s="16"/>
      <c r="L42" s="16"/>
      <c r="M42" s="16"/>
      <c r="N42" s="22"/>
      <c r="O42" s="16"/>
    </row>
    <row r="43" spans="1:15" ht="14.25" customHeight="1">
      <c r="A43" s="15" t="s">
        <v>613</v>
      </c>
      <c r="B43" s="15" t="s">
        <v>615</v>
      </c>
      <c r="C43" s="15" t="s">
        <v>280</v>
      </c>
      <c r="D43" s="15" t="s">
        <v>282</v>
      </c>
      <c r="E43" s="15" t="s">
        <v>280</v>
      </c>
      <c r="F43" s="15" t="s">
        <v>617</v>
      </c>
      <c r="G43" s="23">
        <v>0.01</v>
      </c>
      <c r="H43" s="15" t="s">
        <v>290</v>
      </c>
      <c r="I43" s="15" t="s">
        <v>292</v>
      </c>
      <c r="J43" s="16"/>
      <c r="K43" s="16"/>
      <c r="L43" s="16"/>
      <c r="M43" s="16"/>
      <c r="N43" s="27"/>
      <c r="O43" s="16"/>
    </row>
    <row r="44" spans="1:15" ht="14.25" customHeight="1">
      <c r="A44" s="15" t="s">
        <v>621</v>
      </c>
      <c r="B44" s="15" t="s">
        <v>622</v>
      </c>
      <c r="C44" s="15" t="s">
        <v>280</v>
      </c>
      <c r="D44" s="15" t="s">
        <v>282</v>
      </c>
      <c r="E44" s="15" t="s">
        <v>280</v>
      </c>
      <c r="F44" s="15" t="s">
        <v>625</v>
      </c>
      <c r="G44" s="23">
        <v>0.01</v>
      </c>
      <c r="H44" s="15" t="s">
        <v>290</v>
      </c>
      <c r="I44" s="15" t="s">
        <v>292</v>
      </c>
      <c r="J44" s="16"/>
      <c r="K44" s="16"/>
      <c r="L44" s="16"/>
      <c r="M44" s="16"/>
      <c r="N44" s="22"/>
      <c r="O44" s="16"/>
    </row>
    <row r="45" spans="1:15" ht="14.25" customHeight="1">
      <c r="A45" s="15" t="s">
        <v>628</v>
      </c>
      <c r="B45" s="15" t="s">
        <v>631</v>
      </c>
      <c r="C45" s="15" t="s">
        <v>280</v>
      </c>
      <c r="D45" s="15" t="s">
        <v>282</v>
      </c>
      <c r="E45" s="15" t="s">
        <v>280</v>
      </c>
      <c r="F45" s="15" t="s">
        <v>632</v>
      </c>
      <c r="G45" s="23">
        <v>0.01</v>
      </c>
      <c r="H45" s="15" t="s">
        <v>290</v>
      </c>
      <c r="I45" s="15" t="s">
        <v>292</v>
      </c>
      <c r="J45" s="16"/>
      <c r="K45" s="16"/>
      <c r="L45" s="16"/>
      <c r="M45" s="16"/>
      <c r="N45" s="27"/>
      <c r="O45" s="16"/>
    </row>
    <row r="46" spans="1:15" ht="14.25" customHeight="1">
      <c r="A46" s="15" t="s">
        <v>637</v>
      </c>
      <c r="B46" s="15" t="s">
        <v>638</v>
      </c>
      <c r="C46" s="15" t="s">
        <v>280</v>
      </c>
      <c r="D46" s="15" t="s">
        <v>282</v>
      </c>
      <c r="E46" s="15" t="s">
        <v>280</v>
      </c>
      <c r="F46" s="15" t="s">
        <v>640</v>
      </c>
      <c r="G46" s="23">
        <v>0.01</v>
      </c>
      <c r="H46" s="15" t="s">
        <v>290</v>
      </c>
      <c r="I46" s="15" t="s">
        <v>292</v>
      </c>
      <c r="J46" s="16"/>
      <c r="K46" s="16"/>
      <c r="L46" s="16"/>
      <c r="M46" s="16"/>
      <c r="N46" s="22"/>
      <c r="O46" s="16"/>
    </row>
    <row r="47" spans="1:15" ht="14.25" customHeight="1">
      <c r="A47" s="15" t="s">
        <v>645</v>
      </c>
      <c r="B47" s="15" t="s">
        <v>646</v>
      </c>
      <c r="C47" s="15" t="s">
        <v>280</v>
      </c>
      <c r="D47" s="15" t="s">
        <v>282</v>
      </c>
      <c r="E47" s="15" t="s">
        <v>280</v>
      </c>
      <c r="F47" s="15" t="s">
        <v>648</v>
      </c>
      <c r="G47" s="23">
        <v>0.01</v>
      </c>
      <c r="H47" s="15" t="s">
        <v>290</v>
      </c>
      <c r="I47" s="15" t="s">
        <v>292</v>
      </c>
      <c r="J47" s="16"/>
      <c r="K47" s="16"/>
      <c r="L47" s="16"/>
      <c r="M47" s="16"/>
      <c r="N47" s="27"/>
      <c r="O47" s="16"/>
    </row>
    <row r="48" spans="1:15" ht="14.25" customHeight="1">
      <c r="A48" s="15" t="s">
        <v>652</v>
      </c>
      <c r="B48" s="15" t="s">
        <v>653</v>
      </c>
      <c r="C48" s="15" t="s">
        <v>280</v>
      </c>
      <c r="D48" s="15" t="s">
        <v>282</v>
      </c>
      <c r="E48" s="15" t="s">
        <v>280</v>
      </c>
      <c r="F48" s="15" t="s">
        <v>656</v>
      </c>
      <c r="G48" s="23">
        <v>0.01</v>
      </c>
      <c r="H48" s="15" t="s">
        <v>290</v>
      </c>
      <c r="I48" s="15" t="s">
        <v>292</v>
      </c>
      <c r="J48" s="16"/>
      <c r="K48" s="16"/>
      <c r="L48" s="16"/>
      <c r="M48" s="16"/>
      <c r="N48" s="22"/>
      <c r="O48" s="16"/>
    </row>
    <row r="49" spans="1:15" ht="14.25" customHeight="1">
      <c r="A49" s="15" t="s">
        <v>662</v>
      </c>
      <c r="B49" s="15" t="s">
        <v>664</v>
      </c>
      <c r="C49" s="15" t="s">
        <v>280</v>
      </c>
      <c r="D49" s="15" t="s">
        <v>282</v>
      </c>
      <c r="E49" s="15" t="s">
        <v>280</v>
      </c>
      <c r="F49" s="15" t="s">
        <v>665</v>
      </c>
      <c r="G49" s="23">
        <v>0.01</v>
      </c>
      <c r="H49" s="15" t="s">
        <v>290</v>
      </c>
      <c r="I49" s="15" t="s">
        <v>292</v>
      </c>
      <c r="J49" s="16"/>
      <c r="K49" s="16"/>
      <c r="L49" s="16"/>
      <c r="M49" s="16"/>
      <c r="N49" s="27"/>
      <c r="O49" s="16"/>
    </row>
    <row r="50" spans="1:15" ht="14.25" customHeight="1">
      <c r="A50" s="15" t="s">
        <v>672</v>
      </c>
      <c r="B50" s="15" t="s">
        <v>673</v>
      </c>
      <c r="C50" s="15" t="s">
        <v>280</v>
      </c>
      <c r="D50" s="15" t="s">
        <v>282</v>
      </c>
      <c r="E50" s="15" t="s">
        <v>280</v>
      </c>
      <c r="F50" s="15" t="s">
        <v>676</v>
      </c>
      <c r="G50" s="23">
        <v>0.01</v>
      </c>
      <c r="H50" s="15" t="s">
        <v>290</v>
      </c>
      <c r="I50" s="15" t="s">
        <v>292</v>
      </c>
      <c r="J50" s="16"/>
      <c r="K50" s="16"/>
      <c r="L50" s="16"/>
      <c r="M50" s="16"/>
      <c r="N50" s="22"/>
      <c r="O50" s="16"/>
    </row>
    <row r="51" spans="1:15" ht="14.25" customHeight="1">
      <c r="A51" s="15" t="s">
        <v>681</v>
      </c>
      <c r="B51" s="15" t="s">
        <v>683</v>
      </c>
      <c r="C51" s="15" t="s">
        <v>280</v>
      </c>
      <c r="D51" s="15" t="s">
        <v>282</v>
      </c>
      <c r="E51" s="15" t="s">
        <v>280</v>
      </c>
      <c r="F51" s="15" t="s">
        <v>686</v>
      </c>
      <c r="G51" s="23">
        <v>0.01</v>
      </c>
      <c r="H51" s="15" t="s">
        <v>290</v>
      </c>
      <c r="I51" s="15" t="s">
        <v>292</v>
      </c>
      <c r="J51" s="16"/>
      <c r="K51" s="16"/>
      <c r="L51" s="16"/>
      <c r="M51" s="16"/>
      <c r="N51" s="27"/>
      <c r="O51" s="16"/>
    </row>
    <row r="52" spans="1:15" ht="14.25" customHeight="1">
      <c r="A52" s="15" t="s">
        <v>693</v>
      </c>
      <c r="B52" s="15" t="s">
        <v>695</v>
      </c>
      <c r="C52" s="15" t="s">
        <v>280</v>
      </c>
      <c r="D52" s="15" t="s">
        <v>282</v>
      </c>
      <c r="E52" s="15" t="s">
        <v>280</v>
      </c>
      <c r="F52" s="15" t="s">
        <v>702</v>
      </c>
      <c r="G52" s="23">
        <v>0.01</v>
      </c>
      <c r="H52" s="15" t="s">
        <v>290</v>
      </c>
      <c r="I52" s="15" t="s">
        <v>292</v>
      </c>
      <c r="J52" s="15" t="s">
        <v>708</v>
      </c>
      <c r="K52" s="16" t="s">
        <v>709</v>
      </c>
      <c r="L52" s="16"/>
      <c r="M52" s="16"/>
      <c r="N52" s="22"/>
      <c r="O52" s="16"/>
    </row>
    <row r="53" spans="1:15" ht="14.25" customHeight="1">
      <c r="A53" s="15" t="s">
        <v>717</v>
      </c>
      <c r="B53" s="15" t="s">
        <v>718</v>
      </c>
      <c r="C53" s="15" t="s">
        <v>280</v>
      </c>
      <c r="D53" s="15" t="s">
        <v>282</v>
      </c>
      <c r="E53" s="15" t="s">
        <v>280</v>
      </c>
      <c r="F53" s="15" t="s">
        <v>719</v>
      </c>
      <c r="G53" s="23">
        <v>0.01</v>
      </c>
      <c r="H53" s="15" t="s">
        <v>290</v>
      </c>
      <c r="I53" s="15" t="s">
        <v>292</v>
      </c>
      <c r="J53" s="16"/>
      <c r="K53" s="16"/>
      <c r="L53" s="16"/>
      <c r="M53" s="16"/>
      <c r="N53" s="27"/>
      <c r="O53" s="16"/>
    </row>
    <row r="54" spans="1:15" ht="14.25" customHeight="1">
      <c r="A54" s="15" t="s">
        <v>728</v>
      </c>
      <c r="B54" s="15" t="s">
        <v>730</v>
      </c>
      <c r="C54" s="15" t="s">
        <v>280</v>
      </c>
      <c r="D54" s="15" t="s">
        <v>282</v>
      </c>
      <c r="E54" s="15" t="s">
        <v>280</v>
      </c>
      <c r="F54" s="15" t="s">
        <v>736</v>
      </c>
      <c r="G54" s="23">
        <v>0.01</v>
      </c>
      <c r="H54" s="15" t="s">
        <v>290</v>
      </c>
      <c r="I54" s="15" t="s">
        <v>292</v>
      </c>
      <c r="J54" s="16"/>
      <c r="K54" s="16"/>
      <c r="L54" s="16"/>
      <c r="M54" s="16"/>
      <c r="N54" s="22"/>
      <c r="O54" s="16"/>
    </row>
    <row r="55" spans="1:15" ht="14.25" customHeight="1">
      <c r="A55" s="15" t="s">
        <v>741</v>
      </c>
      <c r="B55" s="15" t="s">
        <v>742</v>
      </c>
      <c r="C55" s="15" t="s">
        <v>280</v>
      </c>
      <c r="D55" s="15" t="s">
        <v>282</v>
      </c>
      <c r="E55" s="15" t="s">
        <v>280</v>
      </c>
      <c r="F55" s="15" t="s">
        <v>746</v>
      </c>
      <c r="G55" s="23">
        <v>0.01</v>
      </c>
      <c r="H55" s="15" t="s">
        <v>290</v>
      </c>
      <c r="I55" s="15" t="s">
        <v>292</v>
      </c>
      <c r="J55" s="16"/>
      <c r="K55" s="16"/>
      <c r="L55" s="16"/>
      <c r="M55" s="16"/>
      <c r="N55" s="27"/>
      <c r="O55" s="16"/>
    </row>
    <row r="56" spans="1:15" ht="14.25" customHeight="1">
      <c r="A56" s="15" t="s">
        <v>752</v>
      </c>
      <c r="B56" s="15" t="s">
        <v>753</v>
      </c>
      <c r="C56" s="15" t="s">
        <v>280</v>
      </c>
      <c r="D56" s="15" t="s">
        <v>282</v>
      </c>
      <c r="E56" s="15" t="s">
        <v>280</v>
      </c>
      <c r="F56" s="15" t="s">
        <v>757</v>
      </c>
      <c r="G56" s="23">
        <v>0.01</v>
      </c>
      <c r="H56" s="15" t="s">
        <v>290</v>
      </c>
      <c r="I56" s="15" t="s">
        <v>292</v>
      </c>
      <c r="J56" s="16"/>
      <c r="K56" s="16"/>
      <c r="L56" s="16"/>
      <c r="M56" s="16"/>
      <c r="N56" s="22"/>
      <c r="O56" s="16"/>
    </row>
    <row r="57" spans="1:15" ht="14.25" customHeight="1">
      <c r="A57" s="15" t="s">
        <v>766</v>
      </c>
      <c r="B57" s="15" t="s">
        <v>767</v>
      </c>
      <c r="C57" s="15" t="s">
        <v>280</v>
      </c>
      <c r="D57" s="15" t="s">
        <v>282</v>
      </c>
      <c r="E57" s="15" t="s">
        <v>280</v>
      </c>
      <c r="F57" s="15" t="s">
        <v>433</v>
      </c>
      <c r="G57" s="23">
        <v>0.01</v>
      </c>
      <c r="H57" s="15" t="s">
        <v>290</v>
      </c>
      <c r="I57" s="15" t="s">
        <v>292</v>
      </c>
      <c r="J57" s="16"/>
      <c r="K57" s="16"/>
      <c r="L57" s="16"/>
      <c r="M57" s="16"/>
      <c r="N57" s="27"/>
      <c r="O57" s="16"/>
    </row>
    <row r="58" spans="1:15" ht="14.25" customHeight="1">
      <c r="A58" s="15" t="s">
        <v>779</v>
      </c>
      <c r="B58" s="15" t="s">
        <v>781</v>
      </c>
      <c r="C58" s="15" t="s">
        <v>280</v>
      </c>
      <c r="D58" s="15" t="s">
        <v>282</v>
      </c>
      <c r="E58" s="15" t="s">
        <v>280</v>
      </c>
      <c r="F58" s="15" t="s">
        <v>783</v>
      </c>
      <c r="G58" s="23">
        <v>0.01</v>
      </c>
      <c r="H58" s="15" t="s">
        <v>290</v>
      </c>
      <c r="I58" s="15" t="s">
        <v>292</v>
      </c>
      <c r="J58" s="16" t="s">
        <v>784</v>
      </c>
      <c r="K58" s="16" t="s">
        <v>787</v>
      </c>
      <c r="L58" s="16"/>
      <c r="M58" s="16"/>
      <c r="N58" s="22"/>
      <c r="O58" s="16"/>
    </row>
    <row r="59" spans="1:15" ht="14.25" customHeight="1">
      <c r="A59" s="15" t="s">
        <v>792</v>
      </c>
      <c r="B59" s="15" t="s">
        <v>793</v>
      </c>
      <c r="C59" s="15" t="s">
        <v>280</v>
      </c>
      <c r="D59" s="15" t="s">
        <v>282</v>
      </c>
      <c r="E59" s="15" t="s">
        <v>280</v>
      </c>
      <c r="F59" s="15" t="s">
        <v>796</v>
      </c>
      <c r="G59" s="23">
        <v>0.01</v>
      </c>
      <c r="H59" s="15" t="s">
        <v>290</v>
      </c>
      <c r="I59" s="15" t="s">
        <v>292</v>
      </c>
      <c r="J59" s="16"/>
      <c r="K59" s="16"/>
      <c r="L59" s="16"/>
      <c r="M59" s="16"/>
      <c r="N59" s="27"/>
      <c r="O59" s="16"/>
    </row>
    <row r="60" spans="1:15" ht="14.25" customHeight="1">
      <c r="A60" s="15" t="s">
        <v>802</v>
      </c>
      <c r="B60" s="15" t="s">
        <v>804</v>
      </c>
      <c r="C60" s="15" t="s">
        <v>280</v>
      </c>
      <c r="D60" s="15" t="s">
        <v>282</v>
      </c>
      <c r="E60" s="15" t="s">
        <v>280</v>
      </c>
      <c r="F60" s="15" t="s">
        <v>805</v>
      </c>
      <c r="G60" s="23">
        <v>0.01</v>
      </c>
      <c r="H60" s="15" t="s">
        <v>290</v>
      </c>
      <c r="I60" s="15" t="s">
        <v>292</v>
      </c>
      <c r="J60" s="16" t="s">
        <v>784</v>
      </c>
      <c r="K60" s="16" t="s">
        <v>808</v>
      </c>
      <c r="L60" s="16"/>
      <c r="M60" s="16"/>
      <c r="N60" s="22"/>
      <c r="O60" s="16"/>
    </row>
    <row r="61" spans="1:15" ht="14.25" customHeight="1">
      <c r="A61" s="15" t="s">
        <v>813</v>
      </c>
      <c r="B61" s="15" t="s">
        <v>814</v>
      </c>
      <c r="C61" s="15" t="s">
        <v>280</v>
      </c>
      <c r="D61" s="15" t="s">
        <v>282</v>
      </c>
      <c r="E61" s="15" t="s">
        <v>280</v>
      </c>
      <c r="F61" s="15" t="s">
        <v>816</v>
      </c>
      <c r="G61" s="23">
        <v>0.01</v>
      </c>
      <c r="H61" s="15" t="s">
        <v>290</v>
      </c>
      <c r="I61" s="15" t="s">
        <v>292</v>
      </c>
      <c r="J61" s="16"/>
      <c r="K61" s="16"/>
      <c r="L61" s="16"/>
      <c r="M61" s="16"/>
      <c r="N61" s="27"/>
      <c r="O61" s="16"/>
    </row>
    <row r="62" spans="1:15" ht="14.25" customHeight="1">
      <c r="A62" s="15" t="s">
        <v>821</v>
      </c>
      <c r="B62" s="15" t="s">
        <v>822</v>
      </c>
      <c r="C62" s="15" t="s">
        <v>280</v>
      </c>
      <c r="D62" s="15" t="s">
        <v>282</v>
      </c>
      <c r="E62" s="15" t="s">
        <v>280</v>
      </c>
      <c r="F62" s="15" t="s">
        <v>824</v>
      </c>
      <c r="G62" s="23">
        <v>0.01</v>
      </c>
      <c r="H62" s="15" t="s">
        <v>290</v>
      </c>
      <c r="I62" s="15" t="s">
        <v>292</v>
      </c>
      <c r="J62" s="16"/>
      <c r="K62" s="16"/>
      <c r="L62" s="16"/>
      <c r="M62" s="16"/>
      <c r="N62" s="22"/>
      <c r="O62" s="16"/>
    </row>
    <row r="63" spans="1:15" ht="14.25" customHeight="1">
      <c r="A63" s="15" t="s">
        <v>828</v>
      </c>
      <c r="B63" s="15" t="s">
        <v>829</v>
      </c>
      <c r="C63" s="15" t="s">
        <v>280</v>
      </c>
      <c r="D63" s="15" t="s">
        <v>282</v>
      </c>
      <c r="E63" s="15" t="s">
        <v>280</v>
      </c>
      <c r="F63" s="15" t="s">
        <v>831</v>
      </c>
      <c r="G63" s="23">
        <v>0.01</v>
      </c>
      <c r="H63" s="15" t="s">
        <v>290</v>
      </c>
      <c r="I63" s="15" t="s">
        <v>292</v>
      </c>
      <c r="J63" s="16"/>
      <c r="K63" s="16"/>
      <c r="L63" s="16"/>
      <c r="M63" s="16"/>
      <c r="N63" s="27"/>
      <c r="O63" s="16"/>
    </row>
    <row r="64" spans="1:15" ht="14.25" customHeight="1">
      <c r="A64" s="15" t="s">
        <v>836</v>
      </c>
      <c r="B64" s="15" t="s">
        <v>839</v>
      </c>
      <c r="C64" s="15" t="s">
        <v>280</v>
      </c>
      <c r="D64" s="15" t="s">
        <v>282</v>
      </c>
      <c r="E64" s="15" t="s">
        <v>280</v>
      </c>
      <c r="F64" s="15" t="s">
        <v>841</v>
      </c>
      <c r="G64" s="23">
        <v>0.01</v>
      </c>
      <c r="H64" s="15" t="s">
        <v>290</v>
      </c>
      <c r="I64" s="15" t="s">
        <v>292</v>
      </c>
      <c r="J64" s="16"/>
      <c r="K64" s="16"/>
      <c r="L64" s="16"/>
      <c r="M64" s="16"/>
      <c r="N64" s="22"/>
      <c r="O64" s="16"/>
    </row>
    <row r="65" spans="1:15" ht="14.25" customHeight="1">
      <c r="A65" s="15" t="s">
        <v>844</v>
      </c>
      <c r="B65" s="15" t="s">
        <v>846</v>
      </c>
      <c r="C65" s="15" t="s">
        <v>280</v>
      </c>
      <c r="D65" s="15" t="s">
        <v>282</v>
      </c>
      <c r="E65" s="15" t="s">
        <v>280</v>
      </c>
      <c r="F65" s="15" t="s">
        <v>850</v>
      </c>
      <c r="G65" s="23">
        <v>0.01</v>
      </c>
      <c r="H65" s="15" t="s">
        <v>290</v>
      </c>
      <c r="I65" s="15" t="s">
        <v>292</v>
      </c>
      <c r="J65" s="16"/>
      <c r="K65" s="16"/>
      <c r="L65" s="16"/>
      <c r="M65" s="16"/>
      <c r="N65" s="27"/>
      <c r="O65" s="16"/>
    </row>
    <row r="66" spans="1:15" ht="14.25" customHeight="1">
      <c r="A66" s="15" t="s">
        <v>851</v>
      </c>
      <c r="B66" s="15" t="s">
        <v>852</v>
      </c>
      <c r="C66" s="15" t="s">
        <v>280</v>
      </c>
      <c r="D66" s="15" t="s">
        <v>282</v>
      </c>
      <c r="E66" s="15" t="s">
        <v>280</v>
      </c>
      <c r="F66" s="15" t="s">
        <v>854</v>
      </c>
      <c r="G66" s="23">
        <v>0.01</v>
      </c>
      <c r="H66" s="15" t="s">
        <v>290</v>
      </c>
      <c r="I66" s="15" t="s">
        <v>292</v>
      </c>
      <c r="J66" s="16" t="s">
        <v>784</v>
      </c>
      <c r="K66" s="16" t="s">
        <v>857</v>
      </c>
      <c r="L66" s="16"/>
      <c r="M66" s="16"/>
      <c r="N66" s="22"/>
      <c r="O66" s="16"/>
    </row>
    <row r="67" spans="1:15" ht="14.25" customHeight="1">
      <c r="A67" s="15" t="s">
        <v>860</v>
      </c>
      <c r="B67" s="15" t="s">
        <v>861</v>
      </c>
      <c r="C67" s="15" t="s">
        <v>280</v>
      </c>
      <c r="D67" s="15" t="s">
        <v>282</v>
      </c>
      <c r="E67" s="15" t="s">
        <v>280</v>
      </c>
      <c r="F67" s="15" t="s">
        <v>863</v>
      </c>
      <c r="G67" s="23">
        <v>0.01</v>
      </c>
      <c r="H67" s="15" t="s">
        <v>290</v>
      </c>
      <c r="I67" s="15" t="s">
        <v>292</v>
      </c>
      <c r="J67" s="15" t="s">
        <v>864</v>
      </c>
      <c r="K67" s="16" t="s">
        <v>865</v>
      </c>
      <c r="L67" s="16"/>
      <c r="M67" s="16"/>
      <c r="N67" s="27"/>
      <c r="O67" s="16"/>
    </row>
    <row r="68" spans="1:15" ht="14.25" customHeight="1">
      <c r="A68" s="15" t="s">
        <v>867</v>
      </c>
      <c r="B68" s="15" t="s">
        <v>868</v>
      </c>
      <c r="C68" s="15" t="s">
        <v>280</v>
      </c>
      <c r="D68" s="15" t="s">
        <v>282</v>
      </c>
      <c r="E68" s="15" t="s">
        <v>280</v>
      </c>
      <c r="F68" s="15" t="s">
        <v>871</v>
      </c>
      <c r="G68" s="23">
        <v>0.01</v>
      </c>
      <c r="H68" s="15" t="s">
        <v>290</v>
      </c>
      <c r="I68" s="15" t="s">
        <v>292</v>
      </c>
      <c r="J68" s="16"/>
      <c r="K68" s="16"/>
      <c r="L68" s="16"/>
      <c r="M68" s="16"/>
      <c r="N68" s="22"/>
      <c r="O68" s="16"/>
    </row>
    <row r="69" spans="1:15" ht="14.25" customHeight="1">
      <c r="A69" s="15" t="s">
        <v>877</v>
      </c>
      <c r="B69" s="15" t="s">
        <v>878</v>
      </c>
      <c r="C69" s="15" t="s">
        <v>280</v>
      </c>
      <c r="D69" s="15" t="s">
        <v>282</v>
      </c>
      <c r="E69" s="15" t="s">
        <v>280</v>
      </c>
      <c r="F69" s="15" t="s">
        <v>880</v>
      </c>
      <c r="G69" s="23">
        <v>0.01</v>
      </c>
      <c r="H69" s="15" t="s">
        <v>290</v>
      </c>
      <c r="I69" s="15" t="s">
        <v>292</v>
      </c>
      <c r="J69" s="16"/>
      <c r="K69" s="16"/>
      <c r="L69" s="16"/>
      <c r="M69" s="16"/>
      <c r="N69" s="27"/>
      <c r="O69" s="16"/>
    </row>
    <row r="70" spans="1:15" ht="14.25" customHeight="1">
      <c r="A70" s="15" t="s">
        <v>883</v>
      </c>
      <c r="B70" s="15" t="s">
        <v>885</v>
      </c>
      <c r="C70" s="15" t="s">
        <v>280</v>
      </c>
      <c r="D70" s="15" t="s">
        <v>282</v>
      </c>
      <c r="E70" s="15" t="s">
        <v>280</v>
      </c>
      <c r="F70" s="15" t="s">
        <v>888</v>
      </c>
      <c r="G70" s="23">
        <v>0.01</v>
      </c>
      <c r="H70" s="15" t="s">
        <v>290</v>
      </c>
      <c r="I70" s="15" t="s">
        <v>292</v>
      </c>
      <c r="J70" s="16"/>
      <c r="K70" s="16"/>
      <c r="L70" s="16"/>
      <c r="M70" s="16"/>
      <c r="N70" s="22"/>
      <c r="O70" s="16"/>
    </row>
    <row r="71" spans="1:15" ht="14.25" customHeight="1">
      <c r="A71" s="15" t="s">
        <v>892</v>
      </c>
      <c r="B71" s="15" t="s">
        <v>893</v>
      </c>
      <c r="C71" s="15" t="s">
        <v>280</v>
      </c>
      <c r="D71" s="15" t="s">
        <v>282</v>
      </c>
      <c r="E71" s="15" t="s">
        <v>280</v>
      </c>
      <c r="F71" s="15" t="s">
        <v>895</v>
      </c>
      <c r="G71" s="23">
        <v>0.01</v>
      </c>
      <c r="H71" s="15" t="s">
        <v>290</v>
      </c>
      <c r="I71" s="15" t="s">
        <v>292</v>
      </c>
      <c r="J71" s="16"/>
      <c r="K71" s="16"/>
      <c r="L71" s="16"/>
      <c r="M71" s="16"/>
      <c r="N71" s="27"/>
      <c r="O71" s="16"/>
    </row>
    <row r="72" spans="1:15" ht="14.25" customHeight="1">
      <c r="A72" s="15" t="s">
        <v>900</v>
      </c>
      <c r="B72" s="15" t="s">
        <v>901</v>
      </c>
      <c r="C72" s="15" t="s">
        <v>280</v>
      </c>
      <c r="D72" s="15" t="s">
        <v>282</v>
      </c>
      <c r="E72" s="15" t="s">
        <v>280</v>
      </c>
      <c r="F72" s="15" t="s">
        <v>903</v>
      </c>
      <c r="G72" s="23">
        <v>0.01</v>
      </c>
      <c r="H72" s="15" t="s">
        <v>290</v>
      </c>
      <c r="I72" s="15" t="s">
        <v>292</v>
      </c>
      <c r="J72" s="16"/>
      <c r="K72" s="16"/>
      <c r="L72" s="16"/>
      <c r="M72" s="16"/>
      <c r="N72" s="22"/>
      <c r="O72" s="16"/>
    </row>
    <row r="73" spans="1:15" ht="14.25" customHeight="1">
      <c r="A73" s="15" t="s">
        <v>913</v>
      </c>
      <c r="B73" s="15" t="s">
        <v>914</v>
      </c>
      <c r="C73" s="15" t="s">
        <v>280</v>
      </c>
      <c r="D73" s="15" t="s">
        <v>282</v>
      </c>
      <c r="E73" s="15" t="s">
        <v>280</v>
      </c>
      <c r="F73" s="15" t="s">
        <v>918</v>
      </c>
      <c r="G73" s="23">
        <v>0.01</v>
      </c>
      <c r="H73" s="15" t="s">
        <v>290</v>
      </c>
      <c r="I73" s="15" t="s">
        <v>292</v>
      </c>
      <c r="J73" s="16"/>
      <c r="K73" s="16"/>
      <c r="L73" s="16"/>
      <c r="M73" s="16"/>
      <c r="N73" s="27"/>
      <c r="O73" s="16"/>
    </row>
    <row r="74" spans="1:15" ht="14.25" customHeight="1">
      <c r="A74" s="15" t="s">
        <v>927</v>
      </c>
      <c r="B74" s="15" t="s">
        <v>928</v>
      </c>
      <c r="C74" s="15" t="s">
        <v>280</v>
      </c>
      <c r="D74" s="15" t="s">
        <v>282</v>
      </c>
      <c r="E74" s="15" t="s">
        <v>280</v>
      </c>
      <c r="F74" s="15" t="s">
        <v>929</v>
      </c>
      <c r="G74" s="23">
        <v>0.01</v>
      </c>
      <c r="H74" s="15" t="s">
        <v>290</v>
      </c>
      <c r="I74" s="15" t="s">
        <v>292</v>
      </c>
      <c r="J74" s="15" t="s">
        <v>784</v>
      </c>
      <c r="K74" s="16" t="s">
        <v>934</v>
      </c>
      <c r="L74" s="16"/>
      <c r="M74" s="16"/>
      <c r="N74" s="22"/>
      <c r="O74" s="16"/>
    </row>
    <row r="75" spans="1:15" ht="14.25" customHeight="1">
      <c r="A75" s="15" t="s">
        <v>937</v>
      </c>
      <c r="B75" s="15" t="s">
        <v>939</v>
      </c>
      <c r="C75" s="15" t="s">
        <v>280</v>
      </c>
      <c r="D75" s="15" t="s">
        <v>282</v>
      </c>
      <c r="E75" s="15" t="s">
        <v>280</v>
      </c>
      <c r="F75" s="15" t="s">
        <v>942</v>
      </c>
      <c r="G75" s="23">
        <v>0.01</v>
      </c>
      <c r="H75" s="15" t="s">
        <v>290</v>
      </c>
      <c r="I75" s="15" t="s">
        <v>292</v>
      </c>
      <c r="J75" s="16"/>
      <c r="K75" s="16"/>
      <c r="L75" s="16"/>
      <c r="M75" s="16"/>
      <c r="N75" s="27"/>
      <c r="O75" s="16"/>
    </row>
    <row r="76" spans="1:15" ht="14.25" customHeight="1">
      <c r="A76" s="15" t="s">
        <v>947</v>
      </c>
      <c r="B76" s="15" t="s">
        <v>948</v>
      </c>
      <c r="C76" s="15" t="s">
        <v>280</v>
      </c>
      <c r="D76" s="15" t="s">
        <v>282</v>
      </c>
      <c r="E76" s="15" t="s">
        <v>280</v>
      </c>
      <c r="F76" s="15" t="s">
        <v>951</v>
      </c>
      <c r="G76" s="23">
        <v>0.01</v>
      </c>
      <c r="H76" s="15" t="s">
        <v>290</v>
      </c>
      <c r="I76" s="15" t="s">
        <v>292</v>
      </c>
      <c r="J76" s="16"/>
      <c r="K76" s="16"/>
      <c r="L76" s="16"/>
      <c r="M76" s="16"/>
      <c r="N76" s="22"/>
      <c r="O76" s="16"/>
    </row>
    <row r="77" spans="1:15" ht="15" customHeight="1">
      <c r="A77" s="15" t="s">
        <v>958</v>
      </c>
      <c r="B77" s="15" t="s">
        <v>959</v>
      </c>
      <c r="C77" s="15" t="s">
        <v>280</v>
      </c>
      <c r="D77" s="15" t="s">
        <v>282</v>
      </c>
      <c r="E77" s="15" t="s">
        <v>280</v>
      </c>
      <c r="F77" s="15" t="s">
        <v>961</v>
      </c>
      <c r="G77" s="23">
        <v>0.01</v>
      </c>
      <c r="H77" s="15" t="s">
        <v>290</v>
      </c>
      <c r="I77" s="15" t="s">
        <v>292</v>
      </c>
      <c r="J77" s="16"/>
      <c r="K77" s="16"/>
      <c r="L77" s="16"/>
      <c r="M77" s="16"/>
      <c r="N77" s="27"/>
      <c r="O77" s="16"/>
    </row>
    <row r="78" spans="1:15" ht="14.25" customHeight="1">
      <c r="A78" s="15" t="s">
        <v>964</v>
      </c>
      <c r="B78" s="15" t="s">
        <v>966</v>
      </c>
      <c r="C78" s="15" t="s">
        <v>280</v>
      </c>
      <c r="D78" s="15" t="s">
        <v>282</v>
      </c>
      <c r="E78" s="15" t="s">
        <v>280</v>
      </c>
      <c r="F78" s="15" t="s">
        <v>968</v>
      </c>
      <c r="G78" s="23">
        <v>0.01</v>
      </c>
      <c r="H78" s="15" t="s">
        <v>290</v>
      </c>
      <c r="I78" s="15" t="s">
        <v>292</v>
      </c>
      <c r="J78" s="16"/>
      <c r="K78" s="16"/>
      <c r="L78" s="16"/>
      <c r="M78" s="16"/>
      <c r="N78" s="22"/>
      <c r="O78" s="16"/>
    </row>
    <row r="79" spans="1:15" ht="14.25" customHeight="1">
      <c r="A79" s="15" t="s">
        <v>970</v>
      </c>
      <c r="B79" s="15" t="s">
        <v>971</v>
      </c>
      <c r="C79" s="15" t="s">
        <v>280</v>
      </c>
      <c r="D79" s="15" t="s">
        <v>282</v>
      </c>
      <c r="E79" s="15" t="s">
        <v>280</v>
      </c>
      <c r="F79" s="15" t="s">
        <v>972</v>
      </c>
      <c r="G79" s="23">
        <v>0.01</v>
      </c>
      <c r="H79" s="15" t="s">
        <v>290</v>
      </c>
      <c r="I79" s="15" t="s">
        <v>292</v>
      </c>
      <c r="J79" s="16"/>
      <c r="K79" s="16"/>
      <c r="L79" s="16"/>
      <c r="M79" s="16"/>
      <c r="N79" s="27"/>
      <c r="O79" s="16"/>
    </row>
    <row r="80" spans="1:15" ht="14.25" customHeight="1">
      <c r="A80" s="15" t="s">
        <v>973</v>
      </c>
      <c r="B80" s="15" t="s">
        <v>974</v>
      </c>
      <c r="C80" s="15" t="s">
        <v>280</v>
      </c>
      <c r="D80" s="15" t="s">
        <v>282</v>
      </c>
      <c r="E80" s="15" t="s">
        <v>280</v>
      </c>
      <c r="F80" s="15" t="s">
        <v>976</v>
      </c>
      <c r="G80" s="23">
        <v>0.01</v>
      </c>
      <c r="H80" s="15" t="s">
        <v>290</v>
      </c>
      <c r="I80" s="15" t="s">
        <v>292</v>
      </c>
      <c r="J80" s="15" t="s">
        <v>864</v>
      </c>
      <c r="K80" s="16" t="s">
        <v>865</v>
      </c>
      <c r="L80" s="16"/>
      <c r="M80" s="16"/>
      <c r="N80" s="22"/>
      <c r="O80" s="16"/>
    </row>
    <row r="81" spans="1:15" ht="14.25" customHeight="1">
      <c r="A81" s="15" t="s">
        <v>978</v>
      </c>
      <c r="B81" s="15" t="s">
        <v>980</v>
      </c>
      <c r="C81" s="15" t="s">
        <v>280</v>
      </c>
      <c r="D81" s="15" t="s">
        <v>282</v>
      </c>
      <c r="E81" s="15" t="s">
        <v>280</v>
      </c>
      <c r="F81" s="15" t="s">
        <v>982</v>
      </c>
      <c r="G81" s="23">
        <v>0.01</v>
      </c>
      <c r="H81" s="15" t="s">
        <v>290</v>
      </c>
      <c r="I81" s="15" t="s">
        <v>292</v>
      </c>
      <c r="J81" s="16"/>
      <c r="K81" s="16"/>
      <c r="L81" s="16"/>
      <c r="M81" s="16"/>
      <c r="N81" s="27"/>
      <c r="O81" s="16"/>
    </row>
    <row r="82" spans="1:15" ht="14.25" customHeight="1">
      <c r="A82" s="15" t="s">
        <v>985</v>
      </c>
      <c r="B82" s="15" t="s">
        <v>986</v>
      </c>
      <c r="C82" s="15" t="s">
        <v>280</v>
      </c>
      <c r="D82" s="15" t="s">
        <v>282</v>
      </c>
      <c r="E82" s="15" t="s">
        <v>280</v>
      </c>
      <c r="F82" s="15" t="s">
        <v>987</v>
      </c>
      <c r="G82" s="23">
        <v>0.01</v>
      </c>
      <c r="H82" s="15" t="s">
        <v>290</v>
      </c>
      <c r="I82" s="15" t="s">
        <v>292</v>
      </c>
      <c r="J82" s="16" t="s">
        <v>784</v>
      </c>
      <c r="K82" s="16" t="s">
        <v>988</v>
      </c>
      <c r="L82" s="16"/>
      <c r="M82" s="16"/>
      <c r="N82" s="22"/>
      <c r="O82" s="16"/>
    </row>
    <row r="83" spans="1:15" ht="14.25" customHeight="1">
      <c r="A83" s="15" t="s">
        <v>991</v>
      </c>
      <c r="B83" s="15" t="s">
        <v>992</v>
      </c>
      <c r="C83" s="15" t="s">
        <v>280</v>
      </c>
      <c r="D83" s="15" t="s">
        <v>282</v>
      </c>
      <c r="E83" s="15" t="s">
        <v>280</v>
      </c>
      <c r="F83" s="15" t="s">
        <v>995</v>
      </c>
      <c r="G83" s="23">
        <v>0.01</v>
      </c>
      <c r="H83" s="15" t="s">
        <v>290</v>
      </c>
      <c r="I83" s="15" t="s">
        <v>292</v>
      </c>
      <c r="J83" s="16"/>
      <c r="K83" s="16"/>
      <c r="L83" s="16"/>
      <c r="M83" s="16"/>
      <c r="N83" s="27"/>
      <c r="O83" s="16"/>
    </row>
    <row r="84" spans="1:15" ht="14.25" customHeight="1">
      <c r="A84" s="15" t="s">
        <v>996</v>
      </c>
      <c r="B84" s="15" t="s">
        <v>997</v>
      </c>
      <c r="C84" s="15" t="s">
        <v>280</v>
      </c>
      <c r="D84" s="15" t="s">
        <v>282</v>
      </c>
      <c r="E84" s="15" t="s">
        <v>280</v>
      </c>
      <c r="F84" s="15" t="s">
        <v>998</v>
      </c>
      <c r="G84" s="23">
        <v>0.01</v>
      </c>
      <c r="H84" s="15" t="s">
        <v>290</v>
      </c>
      <c r="I84" s="15" t="s">
        <v>292</v>
      </c>
      <c r="J84" s="16"/>
      <c r="K84" s="16"/>
      <c r="L84" s="16"/>
      <c r="M84" s="16"/>
      <c r="N84" s="22"/>
      <c r="O84" s="16"/>
    </row>
    <row r="85" spans="1:15" ht="14.25" customHeight="1">
      <c r="A85" s="15" t="s">
        <v>1003</v>
      </c>
      <c r="B85" s="15" t="s">
        <v>1004</v>
      </c>
      <c r="C85" s="15" t="s">
        <v>280</v>
      </c>
      <c r="D85" s="15" t="s">
        <v>282</v>
      </c>
      <c r="E85" s="15" t="s">
        <v>280</v>
      </c>
      <c r="F85" s="15" t="s">
        <v>1005</v>
      </c>
      <c r="G85" s="23">
        <v>0.01</v>
      </c>
      <c r="H85" s="15" t="s">
        <v>290</v>
      </c>
      <c r="I85" s="15" t="s">
        <v>292</v>
      </c>
      <c r="J85" s="16"/>
      <c r="K85" s="16"/>
      <c r="L85" s="16"/>
      <c r="M85" s="16"/>
      <c r="N85" s="27"/>
      <c r="O85" s="16"/>
    </row>
    <row r="86" spans="1:15" ht="14.25" customHeight="1">
      <c r="A86" s="15" t="s">
        <v>1006</v>
      </c>
      <c r="B86" s="15" t="s">
        <v>1007</v>
      </c>
      <c r="C86" s="15" t="s">
        <v>280</v>
      </c>
      <c r="D86" s="15" t="s">
        <v>282</v>
      </c>
      <c r="E86" s="15" t="s">
        <v>280</v>
      </c>
      <c r="F86" s="15" t="s">
        <v>1008</v>
      </c>
      <c r="G86" s="23">
        <v>0.01</v>
      </c>
      <c r="H86" s="15" t="s">
        <v>290</v>
      </c>
      <c r="I86" s="15" t="s">
        <v>292</v>
      </c>
      <c r="J86" s="15" t="s">
        <v>864</v>
      </c>
      <c r="K86" s="16" t="s">
        <v>865</v>
      </c>
      <c r="L86" s="16"/>
      <c r="M86" s="16"/>
      <c r="N86" s="22"/>
      <c r="O86" s="16"/>
    </row>
    <row r="87" spans="1:15" ht="14.25" customHeight="1">
      <c r="A87" s="15" t="s">
        <v>1011</v>
      </c>
      <c r="B87" s="15" t="s">
        <v>1012</v>
      </c>
      <c r="C87" s="15" t="s">
        <v>280</v>
      </c>
      <c r="D87" s="15" t="s">
        <v>282</v>
      </c>
      <c r="E87" s="15" t="s">
        <v>280</v>
      </c>
      <c r="F87" s="15" t="s">
        <v>1015</v>
      </c>
      <c r="G87" s="23">
        <v>0.01</v>
      </c>
      <c r="H87" s="15" t="s">
        <v>290</v>
      </c>
      <c r="I87" s="15" t="s">
        <v>292</v>
      </c>
      <c r="J87" s="15" t="s">
        <v>1017</v>
      </c>
      <c r="K87" s="16" t="s">
        <v>1018</v>
      </c>
      <c r="L87" s="16"/>
      <c r="M87" s="16"/>
      <c r="N87" s="27"/>
      <c r="O87" s="16"/>
    </row>
    <row r="88" spans="1:15" ht="14.25" customHeight="1">
      <c r="A88" s="15" t="s">
        <v>1019</v>
      </c>
      <c r="B88" s="15" t="s">
        <v>1020</v>
      </c>
      <c r="C88" s="15" t="s">
        <v>280</v>
      </c>
      <c r="D88" s="15" t="s">
        <v>282</v>
      </c>
      <c r="E88" s="15" t="s">
        <v>280</v>
      </c>
      <c r="F88" s="15" t="s">
        <v>1021</v>
      </c>
      <c r="G88" s="23">
        <v>0.01</v>
      </c>
      <c r="H88" s="15" t="s">
        <v>290</v>
      </c>
      <c r="I88" s="15" t="s">
        <v>292</v>
      </c>
      <c r="J88" s="16"/>
      <c r="K88" s="16"/>
      <c r="L88" s="16"/>
      <c r="M88" s="16"/>
      <c r="N88" s="22"/>
      <c r="O88" s="16"/>
    </row>
    <row r="89" spans="1:15" ht="14.25" customHeight="1">
      <c r="A89" s="15" t="s">
        <v>1027</v>
      </c>
      <c r="B89" s="15" t="s">
        <v>1028</v>
      </c>
      <c r="C89" s="15" t="s">
        <v>280</v>
      </c>
      <c r="D89" s="15" t="s">
        <v>282</v>
      </c>
      <c r="E89" s="15" t="s">
        <v>280</v>
      </c>
      <c r="F89" s="15" t="s">
        <v>1030</v>
      </c>
      <c r="G89" s="23">
        <v>0.01</v>
      </c>
      <c r="H89" s="15" t="s">
        <v>290</v>
      </c>
      <c r="I89" s="15" t="s">
        <v>292</v>
      </c>
      <c r="J89" s="16"/>
      <c r="K89" s="16"/>
      <c r="L89" s="16"/>
      <c r="M89" s="16"/>
      <c r="N89" s="27"/>
      <c r="O89" s="16"/>
    </row>
    <row r="90" spans="1:15" ht="14.25" customHeight="1">
      <c r="A90" s="15" t="s">
        <v>1032</v>
      </c>
      <c r="B90" s="15" t="s">
        <v>1033</v>
      </c>
      <c r="C90" s="15" t="s">
        <v>280</v>
      </c>
      <c r="D90" s="15" t="s">
        <v>282</v>
      </c>
      <c r="E90" s="15" t="s">
        <v>280</v>
      </c>
      <c r="F90" s="15" t="s">
        <v>1035</v>
      </c>
      <c r="G90" s="23">
        <v>0.01</v>
      </c>
      <c r="H90" s="15" t="s">
        <v>290</v>
      </c>
      <c r="I90" s="15" t="s">
        <v>292</v>
      </c>
      <c r="J90" s="16"/>
      <c r="K90" s="16"/>
      <c r="L90" s="16"/>
      <c r="M90" s="16"/>
      <c r="N90" s="22"/>
      <c r="O90" s="16"/>
    </row>
    <row r="91" spans="1:15" ht="14.25" customHeight="1">
      <c r="A91" s="15" t="s">
        <v>1039</v>
      </c>
      <c r="B91" s="15" t="s">
        <v>1040</v>
      </c>
      <c r="C91" s="15" t="s">
        <v>280</v>
      </c>
      <c r="D91" s="15" t="s">
        <v>282</v>
      </c>
      <c r="E91" s="15" t="s">
        <v>280</v>
      </c>
      <c r="F91" s="15" t="s">
        <v>1042</v>
      </c>
      <c r="G91" s="23">
        <v>0.01</v>
      </c>
      <c r="H91" s="15" t="s">
        <v>290</v>
      </c>
      <c r="I91" s="15" t="s">
        <v>292</v>
      </c>
      <c r="J91" s="16" t="s">
        <v>784</v>
      </c>
      <c r="K91" s="16" t="s">
        <v>1044</v>
      </c>
      <c r="L91" s="16"/>
      <c r="M91" s="16"/>
      <c r="N91" s="27"/>
      <c r="O91" s="16"/>
    </row>
    <row r="92" spans="1:15" ht="14.25" customHeight="1">
      <c r="A92" s="15" t="s">
        <v>1046</v>
      </c>
      <c r="B92" s="15" t="s">
        <v>1047</v>
      </c>
      <c r="C92" s="15" t="s">
        <v>280</v>
      </c>
      <c r="D92" s="15" t="s">
        <v>282</v>
      </c>
      <c r="E92" s="15" t="s">
        <v>280</v>
      </c>
      <c r="F92" s="15" t="s">
        <v>1049</v>
      </c>
      <c r="G92" s="23">
        <v>0.01</v>
      </c>
      <c r="H92" s="15" t="s">
        <v>290</v>
      </c>
      <c r="I92" s="15" t="s">
        <v>292</v>
      </c>
      <c r="J92" s="16"/>
      <c r="K92" s="16"/>
      <c r="L92" s="16"/>
      <c r="M92" s="16"/>
      <c r="N92" s="22"/>
      <c r="O92" s="16"/>
    </row>
    <row r="93" spans="1:15" ht="14.25" customHeight="1">
      <c r="A93" s="15" t="s">
        <v>1055</v>
      </c>
      <c r="B93" s="15" t="s">
        <v>1056</v>
      </c>
      <c r="C93" s="15" t="s">
        <v>280</v>
      </c>
      <c r="D93" s="15" t="s">
        <v>282</v>
      </c>
      <c r="E93" s="15" t="s">
        <v>280</v>
      </c>
      <c r="F93" s="15" t="s">
        <v>1059</v>
      </c>
      <c r="G93" s="23">
        <v>0.01</v>
      </c>
      <c r="H93" s="15" t="s">
        <v>290</v>
      </c>
      <c r="I93" s="15" t="s">
        <v>292</v>
      </c>
      <c r="J93" s="16"/>
      <c r="K93" s="16"/>
      <c r="L93" s="16"/>
      <c r="M93" s="16"/>
      <c r="N93" s="27"/>
      <c r="O93" s="16"/>
    </row>
    <row r="94" spans="1:15" ht="14.25" customHeight="1">
      <c r="A94" s="15" t="s">
        <v>1064</v>
      </c>
      <c r="B94" s="15" t="s">
        <v>1066</v>
      </c>
      <c r="C94" s="15" t="s">
        <v>280</v>
      </c>
      <c r="D94" s="15" t="s">
        <v>282</v>
      </c>
      <c r="E94" s="15" t="s">
        <v>280</v>
      </c>
      <c r="F94" s="15" t="s">
        <v>1068</v>
      </c>
      <c r="G94" s="23">
        <v>0.01</v>
      </c>
      <c r="H94" s="15" t="s">
        <v>290</v>
      </c>
      <c r="I94" s="15" t="s">
        <v>292</v>
      </c>
      <c r="J94" s="16"/>
      <c r="K94" s="16"/>
      <c r="L94" s="16"/>
      <c r="M94" s="16"/>
      <c r="N94" s="22"/>
      <c r="O94" s="16"/>
    </row>
    <row r="95" spans="1:15" ht="14.25" customHeight="1">
      <c r="A95" s="15" t="s">
        <v>1072</v>
      </c>
      <c r="B95" s="15" t="s">
        <v>1073</v>
      </c>
      <c r="C95" s="15" t="s">
        <v>280</v>
      </c>
      <c r="D95" s="15" t="s">
        <v>282</v>
      </c>
      <c r="E95" s="15" t="s">
        <v>280</v>
      </c>
      <c r="F95" s="15" t="s">
        <v>1077</v>
      </c>
      <c r="G95" s="23">
        <v>0.01</v>
      </c>
      <c r="H95" s="15" t="s">
        <v>290</v>
      </c>
      <c r="I95" s="15" t="s">
        <v>292</v>
      </c>
      <c r="J95" s="16"/>
      <c r="K95" s="16"/>
      <c r="L95" s="16"/>
      <c r="M95" s="16"/>
      <c r="N95" s="27"/>
      <c r="O95" s="16"/>
    </row>
    <row r="96" spans="1:15" ht="14.25" customHeight="1">
      <c r="A96" s="15" t="s">
        <v>1083</v>
      </c>
      <c r="B96" s="15" t="s">
        <v>1084</v>
      </c>
      <c r="C96" s="15" t="s">
        <v>280</v>
      </c>
      <c r="D96" s="15" t="s">
        <v>282</v>
      </c>
      <c r="E96" s="15" t="s">
        <v>280</v>
      </c>
      <c r="F96" s="15" t="s">
        <v>1088</v>
      </c>
      <c r="G96" s="23">
        <v>0.01</v>
      </c>
      <c r="H96" s="15" t="s">
        <v>290</v>
      </c>
      <c r="I96" s="15" t="s">
        <v>292</v>
      </c>
      <c r="J96" s="16"/>
      <c r="K96" s="16"/>
      <c r="L96" s="16"/>
      <c r="M96" s="16"/>
      <c r="N96" s="22"/>
      <c r="O96" s="16"/>
    </row>
    <row r="97" spans="1:15" ht="14.25" customHeight="1">
      <c r="A97" s="15" t="s">
        <v>1093</v>
      </c>
      <c r="B97" s="15" t="s">
        <v>1094</v>
      </c>
      <c r="C97" s="15" t="s">
        <v>280</v>
      </c>
      <c r="D97" s="15" t="s">
        <v>282</v>
      </c>
      <c r="E97" s="15" t="s">
        <v>280</v>
      </c>
      <c r="F97" s="15" t="s">
        <v>1096</v>
      </c>
      <c r="G97" s="23">
        <v>0.01</v>
      </c>
      <c r="H97" s="15" t="s">
        <v>290</v>
      </c>
      <c r="I97" s="15" t="s">
        <v>292</v>
      </c>
      <c r="J97" s="16"/>
      <c r="K97" s="16"/>
      <c r="L97" s="16"/>
      <c r="M97" s="16"/>
      <c r="N97" s="27"/>
      <c r="O97" s="16"/>
    </row>
    <row r="98" spans="1:15" ht="14.25" customHeight="1">
      <c r="A98" s="15" t="s">
        <v>1098</v>
      </c>
      <c r="B98" s="15" t="s">
        <v>1100</v>
      </c>
      <c r="C98" s="15" t="s">
        <v>280</v>
      </c>
      <c r="D98" s="15" t="s">
        <v>282</v>
      </c>
      <c r="E98" s="15" t="s">
        <v>280</v>
      </c>
      <c r="F98" s="15" t="s">
        <v>1101</v>
      </c>
      <c r="G98" s="23">
        <v>0.01</v>
      </c>
      <c r="H98" s="15" t="s">
        <v>290</v>
      </c>
      <c r="I98" s="15" t="s">
        <v>292</v>
      </c>
      <c r="J98" s="16"/>
      <c r="K98" s="16"/>
      <c r="L98" s="16"/>
      <c r="M98" s="16"/>
      <c r="N98" s="22"/>
      <c r="O98" s="16"/>
    </row>
    <row r="99" spans="1:15" ht="15" customHeight="1">
      <c r="A99" s="15" t="s">
        <v>1110</v>
      </c>
      <c r="B99" s="15" t="s">
        <v>1111</v>
      </c>
      <c r="C99" s="15" t="s">
        <v>280</v>
      </c>
      <c r="D99" s="15" t="s">
        <v>282</v>
      </c>
      <c r="E99" s="15" t="s">
        <v>280</v>
      </c>
      <c r="F99" s="15" t="s">
        <v>1113</v>
      </c>
      <c r="G99" s="23">
        <v>0.01</v>
      </c>
      <c r="H99" s="15" t="s">
        <v>290</v>
      </c>
      <c r="I99" s="15" t="s">
        <v>292</v>
      </c>
      <c r="J99" s="15" t="s">
        <v>1114</v>
      </c>
      <c r="K99" s="16" t="s">
        <v>1116</v>
      </c>
      <c r="L99" s="16" t="s">
        <v>784</v>
      </c>
      <c r="M99" s="16" t="s">
        <v>1117</v>
      </c>
      <c r="N99" s="27"/>
      <c r="O99" s="16"/>
    </row>
    <row r="100" spans="1:15" ht="15" customHeight="1">
      <c r="A100" s="15" t="s">
        <v>1120</v>
      </c>
      <c r="B100" s="15" t="s">
        <v>1121</v>
      </c>
      <c r="C100" s="15" t="s">
        <v>280</v>
      </c>
      <c r="D100" s="15" t="s">
        <v>282</v>
      </c>
      <c r="E100" s="15" t="s">
        <v>280</v>
      </c>
      <c r="F100" s="15" t="s">
        <v>1122</v>
      </c>
      <c r="G100" s="23">
        <v>0.01</v>
      </c>
      <c r="H100" s="15" t="s">
        <v>290</v>
      </c>
      <c r="I100" s="15" t="s">
        <v>292</v>
      </c>
      <c r="J100" s="16"/>
      <c r="K100" s="16"/>
      <c r="L100" s="16"/>
      <c r="M100" s="16"/>
      <c r="N100" s="27"/>
      <c r="O100" s="16"/>
    </row>
    <row r="101" spans="1:15" ht="14.25" customHeight="1">
      <c r="A101" s="15" t="s">
        <v>1123</v>
      </c>
      <c r="B101" s="15" t="s">
        <v>1125</v>
      </c>
      <c r="C101" s="15" t="s">
        <v>280</v>
      </c>
      <c r="D101" s="15" t="s">
        <v>282</v>
      </c>
      <c r="E101" s="15" t="s">
        <v>280</v>
      </c>
      <c r="F101" s="15" t="s">
        <v>1127</v>
      </c>
      <c r="G101" s="23">
        <v>0.01</v>
      </c>
      <c r="H101" s="15" t="s">
        <v>290</v>
      </c>
      <c r="I101" s="15" t="s">
        <v>292</v>
      </c>
      <c r="J101" s="16"/>
      <c r="K101" s="16"/>
      <c r="L101" s="16"/>
      <c r="M101" s="16"/>
      <c r="N101" s="27"/>
      <c r="O101" s="16"/>
    </row>
    <row r="102" spans="1:15" ht="14.25" customHeight="1">
      <c r="A102" s="15" t="s">
        <v>1130</v>
      </c>
      <c r="B102" s="15" t="s">
        <v>1131</v>
      </c>
      <c r="C102" s="15" t="s">
        <v>280</v>
      </c>
      <c r="D102" s="15" t="s">
        <v>282</v>
      </c>
      <c r="E102" s="15" t="s">
        <v>280</v>
      </c>
      <c r="F102" s="15" t="s">
        <v>1134</v>
      </c>
      <c r="G102" s="23">
        <v>0.01</v>
      </c>
      <c r="H102" s="15" t="s">
        <v>290</v>
      </c>
      <c r="I102" s="15" t="s">
        <v>292</v>
      </c>
      <c r="J102" s="16"/>
      <c r="K102" s="16"/>
      <c r="L102" s="16"/>
      <c r="M102" s="16"/>
      <c r="N102" s="22"/>
      <c r="O102" s="16"/>
    </row>
    <row r="103" spans="1:15" ht="15" customHeight="1">
      <c r="A103" s="15" t="s">
        <v>1135</v>
      </c>
      <c r="B103" s="15" t="s">
        <v>1136</v>
      </c>
      <c r="C103" s="15" t="s">
        <v>280</v>
      </c>
      <c r="D103" s="15" t="s">
        <v>282</v>
      </c>
      <c r="E103" s="15" t="s">
        <v>280</v>
      </c>
      <c r="F103" s="15" t="s">
        <v>1139</v>
      </c>
      <c r="G103" s="23">
        <v>0.01</v>
      </c>
      <c r="H103" s="15" t="s">
        <v>290</v>
      </c>
      <c r="I103" s="15" t="s">
        <v>292</v>
      </c>
      <c r="J103" s="16"/>
      <c r="K103" s="16"/>
      <c r="L103" s="16"/>
      <c r="M103" s="16"/>
      <c r="N103" s="27"/>
      <c r="O103" s="16"/>
    </row>
    <row r="104" spans="1:15" ht="14.25" customHeight="1">
      <c r="A104" s="15" t="s">
        <v>1140</v>
      </c>
      <c r="B104" s="15" t="s">
        <v>1141</v>
      </c>
      <c r="C104" s="15" t="s">
        <v>280</v>
      </c>
      <c r="D104" s="15" t="s">
        <v>282</v>
      </c>
      <c r="E104" s="15" t="s">
        <v>280</v>
      </c>
      <c r="F104" s="15" t="s">
        <v>1144</v>
      </c>
      <c r="G104" s="23">
        <v>0.01</v>
      </c>
      <c r="H104" s="15" t="s">
        <v>290</v>
      </c>
      <c r="I104" s="15" t="s">
        <v>292</v>
      </c>
      <c r="J104" s="16"/>
      <c r="K104" s="16"/>
      <c r="L104" s="16"/>
      <c r="M104" s="16"/>
      <c r="N104" s="22"/>
      <c r="O104" s="16"/>
    </row>
    <row r="105" spans="1:15" ht="14.25" customHeight="1">
      <c r="A105" s="15" t="s">
        <v>1145</v>
      </c>
      <c r="B105" s="15" t="s">
        <v>1146</v>
      </c>
      <c r="C105" s="15" t="s">
        <v>280</v>
      </c>
      <c r="D105" s="15" t="s">
        <v>282</v>
      </c>
      <c r="E105" s="15" t="s">
        <v>280</v>
      </c>
      <c r="F105" s="15" t="s">
        <v>1150</v>
      </c>
      <c r="G105" s="23">
        <v>0.01</v>
      </c>
      <c r="H105" s="15" t="s">
        <v>290</v>
      </c>
      <c r="I105" s="15" t="s">
        <v>292</v>
      </c>
      <c r="J105" s="16"/>
      <c r="K105" s="16"/>
      <c r="L105" s="16"/>
      <c r="M105" s="16"/>
      <c r="N105" s="27"/>
      <c r="O105" s="16"/>
    </row>
    <row r="106" spans="1:15" ht="14.25" customHeight="1">
      <c r="A106" s="15" t="s">
        <v>1156</v>
      </c>
      <c r="B106" s="15" t="s">
        <v>1158</v>
      </c>
      <c r="C106" s="15" t="s">
        <v>280</v>
      </c>
      <c r="D106" s="15" t="s">
        <v>282</v>
      </c>
      <c r="E106" s="15" t="s">
        <v>280</v>
      </c>
      <c r="F106" s="15" t="s">
        <v>1164</v>
      </c>
      <c r="G106" s="23">
        <v>0.01</v>
      </c>
      <c r="H106" s="15" t="s">
        <v>290</v>
      </c>
      <c r="I106" s="15" t="s">
        <v>292</v>
      </c>
      <c r="J106" s="16"/>
      <c r="K106" s="16"/>
      <c r="L106" s="16"/>
      <c r="M106" s="16"/>
      <c r="N106" s="22"/>
      <c r="O106" s="16"/>
    </row>
    <row r="107" spans="1:15" ht="14.25" customHeight="1">
      <c r="A107" s="15" t="s">
        <v>1180</v>
      </c>
      <c r="B107" s="15" t="s">
        <v>1184</v>
      </c>
      <c r="C107" s="15" t="s">
        <v>280</v>
      </c>
      <c r="D107" s="15" t="s">
        <v>282</v>
      </c>
      <c r="E107" s="15" t="s">
        <v>280</v>
      </c>
      <c r="F107" s="15" t="s">
        <v>1187</v>
      </c>
      <c r="G107" s="23">
        <v>0.01</v>
      </c>
      <c r="H107" s="15" t="s">
        <v>290</v>
      </c>
      <c r="I107" s="15" t="s">
        <v>292</v>
      </c>
      <c r="J107" s="16"/>
      <c r="K107" s="16"/>
      <c r="L107" s="16"/>
      <c r="M107" s="16"/>
      <c r="N107" s="27"/>
      <c r="O107" s="16"/>
    </row>
    <row r="108" spans="1:15" ht="14.25" customHeight="1">
      <c r="A108" s="15" t="s">
        <v>1203</v>
      </c>
      <c r="B108" s="15" t="s">
        <v>1206</v>
      </c>
      <c r="C108" s="15" t="s">
        <v>280</v>
      </c>
      <c r="D108" s="15" t="s">
        <v>282</v>
      </c>
      <c r="E108" s="15" t="s">
        <v>280</v>
      </c>
      <c r="F108" s="15" t="s">
        <v>1216</v>
      </c>
      <c r="G108" s="23">
        <v>0.01</v>
      </c>
      <c r="H108" s="15" t="s">
        <v>290</v>
      </c>
      <c r="I108" s="15" t="s">
        <v>292</v>
      </c>
      <c r="J108" s="16" t="s">
        <v>784</v>
      </c>
      <c r="K108" s="16" t="s">
        <v>1222</v>
      </c>
      <c r="L108" s="16"/>
      <c r="M108" s="16"/>
      <c r="N108" s="22"/>
      <c r="O108" s="16"/>
    </row>
    <row r="109" spans="1:15" ht="14.25" customHeight="1">
      <c r="A109" s="15" t="s">
        <v>1246</v>
      </c>
      <c r="B109" s="15" t="s">
        <v>1249</v>
      </c>
      <c r="C109" s="15" t="s">
        <v>280</v>
      </c>
      <c r="D109" s="15" t="s">
        <v>282</v>
      </c>
      <c r="E109" s="15" t="s">
        <v>280</v>
      </c>
      <c r="F109" s="15" t="s">
        <v>1255</v>
      </c>
      <c r="G109" s="23">
        <v>0.01</v>
      </c>
      <c r="H109" s="15" t="s">
        <v>290</v>
      </c>
      <c r="I109" s="15" t="s">
        <v>292</v>
      </c>
      <c r="J109" s="16" t="s">
        <v>784</v>
      </c>
      <c r="K109" s="16" t="s">
        <v>1261</v>
      </c>
      <c r="L109" s="16"/>
      <c r="M109" s="16"/>
      <c r="N109" s="27"/>
      <c r="O109" s="16"/>
    </row>
    <row r="110" spans="1:15" ht="14.25" customHeight="1">
      <c r="A110" s="15" t="s">
        <v>1268</v>
      </c>
      <c r="B110" s="15" t="s">
        <v>1269</v>
      </c>
      <c r="C110" s="15" t="s">
        <v>280</v>
      </c>
      <c r="D110" s="15" t="s">
        <v>282</v>
      </c>
      <c r="E110" s="15" t="s">
        <v>280</v>
      </c>
      <c r="F110" s="15" t="s">
        <v>1274</v>
      </c>
      <c r="G110" s="23">
        <v>0.01</v>
      </c>
      <c r="H110" s="15" t="s">
        <v>290</v>
      </c>
      <c r="I110" s="15" t="s">
        <v>292</v>
      </c>
      <c r="J110" s="16"/>
      <c r="K110" s="16"/>
      <c r="L110" s="16"/>
      <c r="M110" s="16"/>
      <c r="N110" s="22"/>
      <c r="O110" s="16"/>
    </row>
    <row r="111" spans="1:15" ht="14.25" customHeight="1">
      <c r="A111" s="15" t="s">
        <v>1283</v>
      </c>
      <c r="B111" s="15" t="s">
        <v>1284</v>
      </c>
      <c r="C111" s="15" t="s">
        <v>280</v>
      </c>
      <c r="D111" s="15" t="s">
        <v>282</v>
      </c>
      <c r="E111" s="15" t="s">
        <v>280</v>
      </c>
      <c r="F111" s="15" t="s">
        <v>1291</v>
      </c>
      <c r="G111" s="23">
        <v>0.01</v>
      </c>
      <c r="H111" s="15" t="s">
        <v>290</v>
      </c>
      <c r="I111" s="15" t="s">
        <v>292</v>
      </c>
      <c r="J111" s="16"/>
      <c r="K111" s="16"/>
      <c r="L111" s="16"/>
      <c r="M111" s="16"/>
      <c r="N111" s="27"/>
      <c r="O111" s="16"/>
    </row>
    <row r="112" spans="1:15" ht="14.25" customHeight="1">
      <c r="A112" s="15" t="s">
        <v>1299</v>
      </c>
      <c r="B112" s="15" t="s">
        <v>1302</v>
      </c>
      <c r="C112" s="15" t="s">
        <v>280</v>
      </c>
      <c r="D112" s="15" t="s">
        <v>282</v>
      </c>
      <c r="E112" s="15" t="s">
        <v>280</v>
      </c>
      <c r="F112" s="15" t="s">
        <v>1307</v>
      </c>
      <c r="G112" s="23">
        <v>0.01</v>
      </c>
      <c r="H112" s="15" t="s">
        <v>290</v>
      </c>
      <c r="I112" s="15" t="s">
        <v>292</v>
      </c>
      <c r="J112" s="16"/>
      <c r="K112" s="16"/>
      <c r="L112" s="16"/>
      <c r="M112" s="16"/>
      <c r="N112" s="22"/>
      <c r="O112" s="16"/>
    </row>
    <row r="113" spans="1:15" ht="14.25" customHeight="1">
      <c r="A113" s="15" t="s">
        <v>1315</v>
      </c>
      <c r="B113" s="15" t="s">
        <v>1318</v>
      </c>
      <c r="C113" s="15" t="s">
        <v>280</v>
      </c>
      <c r="D113" s="15" t="s">
        <v>282</v>
      </c>
      <c r="E113" s="15" t="s">
        <v>280</v>
      </c>
      <c r="F113" s="16" t="s">
        <v>1320</v>
      </c>
      <c r="G113" s="23">
        <v>0.01</v>
      </c>
      <c r="H113" s="15" t="s">
        <v>290</v>
      </c>
      <c r="I113" s="15" t="s">
        <v>292</v>
      </c>
      <c r="J113" s="16"/>
      <c r="K113" s="16"/>
      <c r="L113" s="16"/>
      <c r="M113" s="16"/>
      <c r="N113" s="27"/>
      <c r="O113" s="16"/>
    </row>
    <row r="114" spans="1:15" ht="14.25" customHeight="1">
      <c r="A114" s="15" t="s">
        <v>1328</v>
      </c>
      <c r="B114" s="15" t="s">
        <v>1332</v>
      </c>
      <c r="C114" s="15" t="s">
        <v>280</v>
      </c>
      <c r="D114" s="15" t="s">
        <v>282</v>
      </c>
      <c r="E114" s="15" t="s">
        <v>280</v>
      </c>
      <c r="F114" s="15" t="s">
        <v>1335</v>
      </c>
      <c r="G114" s="23">
        <v>0.01</v>
      </c>
      <c r="H114" s="15" t="s">
        <v>290</v>
      </c>
      <c r="I114" s="15" t="s">
        <v>292</v>
      </c>
      <c r="J114" s="16"/>
      <c r="K114" s="16"/>
      <c r="L114" s="16"/>
      <c r="M114" s="16"/>
      <c r="N114" s="22"/>
      <c r="O114" s="16"/>
    </row>
    <row r="115" spans="1:15" ht="14.25" customHeight="1">
      <c r="A115" s="15" t="s">
        <v>1341</v>
      </c>
      <c r="B115" s="15" t="s">
        <v>1343</v>
      </c>
      <c r="C115" s="15" t="s">
        <v>280</v>
      </c>
      <c r="D115" s="15" t="s">
        <v>282</v>
      </c>
      <c r="E115" s="15" t="s">
        <v>280</v>
      </c>
      <c r="F115" s="15" t="s">
        <v>1347</v>
      </c>
      <c r="G115" s="23">
        <v>0.01</v>
      </c>
      <c r="H115" s="15" t="s">
        <v>290</v>
      </c>
      <c r="I115" s="15" t="s">
        <v>292</v>
      </c>
      <c r="J115" s="16"/>
      <c r="K115" s="16"/>
      <c r="L115" s="16"/>
      <c r="M115" s="16"/>
      <c r="N115" s="27"/>
      <c r="O115" s="16"/>
    </row>
    <row r="116" spans="1:15" ht="14.25" customHeight="1">
      <c r="A116" s="15" t="s">
        <v>1355</v>
      </c>
      <c r="B116" s="15" t="s">
        <v>1357</v>
      </c>
      <c r="C116" s="15" t="s">
        <v>280</v>
      </c>
      <c r="D116" s="15" t="s">
        <v>282</v>
      </c>
      <c r="E116" s="15" t="s">
        <v>280</v>
      </c>
      <c r="F116" s="15" t="s">
        <v>1360</v>
      </c>
      <c r="G116" s="23">
        <v>0.01</v>
      </c>
      <c r="H116" s="15" t="s">
        <v>290</v>
      </c>
      <c r="I116" s="15" t="s">
        <v>292</v>
      </c>
      <c r="J116" s="16"/>
      <c r="K116" s="16"/>
      <c r="L116" s="16"/>
      <c r="M116" s="16"/>
      <c r="N116" s="22"/>
      <c r="O116" s="16"/>
    </row>
    <row r="117" spans="1:15" ht="14.25" customHeight="1">
      <c r="A117" s="15" t="s">
        <v>1364</v>
      </c>
      <c r="B117" s="15" t="s">
        <v>1365</v>
      </c>
      <c r="C117" s="15" t="s">
        <v>280</v>
      </c>
      <c r="D117" s="15" t="s">
        <v>282</v>
      </c>
      <c r="E117" s="15" t="s">
        <v>280</v>
      </c>
      <c r="F117" s="15" t="s">
        <v>1368</v>
      </c>
      <c r="G117" s="23">
        <v>0.01</v>
      </c>
      <c r="H117" s="15" t="s">
        <v>290</v>
      </c>
      <c r="I117" s="15" t="s">
        <v>292</v>
      </c>
      <c r="J117" s="16"/>
      <c r="K117" s="16"/>
      <c r="L117" s="16"/>
      <c r="M117" s="16"/>
      <c r="N117" s="27"/>
      <c r="O117" s="16"/>
    </row>
    <row r="118" spans="1:15" ht="14.25" customHeight="1">
      <c r="A118" s="15" t="s">
        <v>1370</v>
      </c>
      <c r="B118" s="15" t="s">
        <v>1372</v>
      </c>
      <c r="C118" s="15" t="s">
        <v>280</v>
      </c>
      <c r="D118" s="15" t="s">
        <v>282</v>
      </c>
      <c r="E118" s="15" t="s">
        <v>280</v>
      </c>
      <c r="F118" s="15" t="s">
        <v>1374</v>
      </c>
      <c r="G118" s="23">
        <v>0.01</v>
      </c>
      <c r="H118" s="15" t="s">
        <v>290</v>
      </c>
      <c r="I118" s="15" t="s">
        <v>292</v>
      </c>
      <c r="J118" s="16"/>
      <c r="K118" s="16"/>
      <c r="L118" s="16"/>
      <c r="M118" s="16"/>
      <c r="N118" s="22"/>
      <c r="O118" s="16"/>
    </row>
    <row r="119" spans="1:15" ht="14.25" customHeight="1">
      <c r="A119" s="15" t="s">
        <v>1381</v>
      </c>
      <c r="B119" s="15" t="s">
        <v>1382</v>
      </c>
      <c r="C119" s="15" t="s">
        <v>280</v>
      </c>
      <c r="D119" s="15" t="s">
        <v>282</v>
      </c>
      <c r="E119" s="15" t="s">
        <v>280</v>
      </c>
      <c r="F119" s="15" t="s">
        <v>1385</v>
      </c>
      <c r="G119" s="23">
        <v>0.01</v>
      </c>
      <c r="H119" s="15" t="s">
        <v>290</v>
      </c>
      <c r="I119" s="15" t="s">
        <v>292</v>
      </c>
      <c r="J119" s="16"/>
      <c r="K119" s="16"/>
      <c r="L119" s="16"/>
      <c r="M119" s="16"/>
      <c r="N119" s="27"/>
      <c r="O119" s="16"/>
    </row>
    <row r="120" spans="1:15" ht="14.25" customHeight="1">
      <c r="A120" s="15" t="s">
        <v>1392</v>
      </c>
      <c r="B120" s="15" t="s">
        <v>1395</v>
      </c>
      <c r="C120" s="15" t="s">
        <v>280</v>
      </c>
      <c r="D120" s="15" t="s">
        <v>282</v>
      </c>
      <c r="E120" s="15" t="s">
        <v>280</v>
      </c>
      <c r="F120" s="15" t="s">
        <v>1397</v>
      </c>
      <c r="G120" s="23">
        <v>0.01</v>
      </c>
      <c r="H120" s="15" t="s">
        <v>290</v>
      </c>
      <c r="I120" s="15" t="s">
        <v>292</v>
      </c>
      <c r="J120" s="16"/>
      <c r="K120" s="16"/>
      <c r="L120" s="16"/>
      <c r="M120" s="16"/>
      <c r="N120" s="22"/>
      <c r="O120" s="16"/>
    </row>
    <row r="121" spans="1:15" ht="14.25" customHeight="1">
      <c r="A121" s="15" t="s">
        <v>1401</v>
      </c>
      <c r="B121" s="15" t="s">
        <v>1402</v>
      </c>
      <c r="C121" s="15" t="s">
        <v>280</v>
      </c>
      <c r="D121" s="15" t="s">
        <v>282</v>
      </c>
      <c r="E121" s="15" t="s">
        <v>280</v>
      </c>
      <c r="F121" s="15" t="s">
        <v>1405</v>
      </c>
      <c r="G121" s="23">
        <v>0.01</v>
      </c>
      <c r="H121" s="15" t="s">
        <v>290</v>
      </c>
      <c r="I121" s="15" t="s">
        <v>292</v>
      </c>
      <c r="J121" s="16"/>
      <c r="K121" s="16"/>
      <c r="L121" s="16"/>
      <c r="M121" s="16"/>
      <c r="N121" s="27"/>
      <c r="O121" s="16"/>
    </row>
    <row r="122" spans="1:15" ht="14.25" customHeight="1">
      <c r="A122" s="15" t="s">
        <v>1413</v>
      </c>
      <c r="B122" s="15" t="s">
        <v>1415</v>
      </c>
      <c r="C122" s="15" t="s">
        <v>280</v>
      </c>
      <c r="D122" s="15" t="s">
        <v>282</v>
      </c>
      <c r="E122" s="15" t="s">
        <v>280</v>
      </c>
      <c r="F122" s="15" t="s">
        <v>1417</v>
      </c>
      <c r="G122" s="23">
        <v>0.01</v>
      </c>
      <c r="H122" s="15" t="s">
        <v>290</v>
      </c>
      <c r="I122" s="15" t="s">
        <v>292</v>
      </c>
      <c r="J122" s="16"/>
      <c r="K122" s="16"/>
      <c r="L122" s="16"/>
      <c r="M122" s="16"/>
      <c r="N122" s="22"/>
      <c r="O122" s="16"/>
    </row>
    <row r="123" spans="1:15" ht="14.25" customHeight="1">
      <c r="A123" s="15" t="s">
        <v>1422</v>
      </c>
      <c r="B123" s="15" t="s">
        <v>1424</v>
      </c>
      <c r="C123" s="15" t="s">
        <v>280</v>
      </c>
      <c r="D123" s="15" t="s">
        <v>282</v>
      </c>
      <c r="E123" s="15" t="s">
        <v>280</v>
      </c>
      <c r="F123" s="15" t="s">
        <v>1426</v>
      </c>
      <c r="G123" s="23">
        <v>0.01</v>
      </c>
      <c r="H123" s="15" t="s">
        <v>290</v>
      </c>
      <c r="I123" s="15" t="s">
        <v>292</v>
      </c>
      <c r="J123" s="16"/>
      <c r="K123" s="16"/>
      <c r="L123" s="16"/>
      <c r="M123" s="16"/>
      <c r="N123" s="27"/>
      <c r="O123" s="16"/>
    </row>
    <row r="124" spans="1:15" ht="14.25" customHeight="1">
      <c r="A124" s="15" t="s">
        <v>1433</v>
      </c>
      <c r="B124" s="15" t="s">
        <v>1434</v>
      </c>
      <c r="C124" s="15" t="s">
        <v>280</v>
      </c>
      <c r="D124" s="15" t="s">
        <v>282</v>
      </c>
      <c r="E124" s="15" t="s">
        <v>280</v>
      </c>
      <c r="F124" s="15" t="s">
        <v>1439</v>
      </c>
      <c r="G124" s="23">
        <v>0.01</v>
      </c>
      <c r="H124" s="15" t="s">
        <v>290</v>
      </c>
      <c r="I124" s="15" t="s">
        <v>292</v>
      </c>
      <c r="J124" s="16"/>
      <c r="K124" s="16"/>
      <c r="L124" s="16"/>
      <c r="M124" s="16"/>
      <c r="N124" s="22"/>
      <c r="O124" s="16"/>
    </row>
    <row r="125" spans="1:15" ht="14.25" customHeight="1">
      <c r="A125" s="15" t="s">
        <v>1448</v>
      </c>
      <c r="B125" s="15" t="s">
        <v>1450</v>
      </c>
      <c r="C125" s="15" t="s">
        <v>280</v>
      </c>
      <c r="D125" s="15" t="s">
        <v>282</v>
      </c>
      <c r="E125" s="15" t="s">
        <v>280</v>
      </c>
      <c r="F125" s="15" t="s">
        <v>1453</v>
      </c>
      <c r="G125" s="23">
        <v>0.01</v>
      </c>
      <c r="H125" s="15" t="s">
        <v>290</v>
      </c>
      <c r="I125" s="15" t="s">
        <v>292</v>
      </c>
      <c r="J125" s="16"/>
      <c r="K125" s="16"/>
      <c r="L125" s="16"/>
      <c r="M125" s="16"/>
      <c r="N125" s="27"/>
      <c r="O125" s="16"/>
    </row>
    <row r="126" spans="1:15" ht="14.25" customHeight="1">
      <c r="A126" s="15" t="s">
        <v>1455</v>
      </c>
      <c r="B126" s="15" t="s">
        <v>1456</v>
      </c>
      <c r="C126" s="15" t="s">
        <v>280</v>
      </c>
      <c r="D126" s="15" t="s">
        <v>282</v>
      </c>
      <c r="E126" s="15" t="s">
        <v>280</v>
      </c>
      <c r="F126" s="15" t="s">
        <v>1459</v>
      </c>
      <c r="G126" s="23">
        <v>0.01</v>
      </c>
      <c r="H126" s="15" t="s">
        <v>290</v>
      </c>
      <c r="I126" s="15" t="s">
        <v>292</v>
      </c>
      <c r="J126" s="16" t="s">
        <v>784</v>
      </c>
      <c r="K126" s="16" t="s">
        <v>1460</v>
      </c>
      <c r="L126" s="16"/>
      <c r="M126" s="16"/>
      <c r="N126" s="22"/>
      <c r="O126" s="16"/>
    </row>
    <row r="127" spans="1:15" ht="14.25" customHeight="1">
      <c r="A127" s="15" t="s">
        <v>1464</v>
      </c>
      <c r="B127" s="15" t="s">
        <v>1465</v>
      </c>
      <c r="C127" s="15" t="s">
        <v>280</v>
      </c>
      <c r="D127" s="15" t="s">
        <v>282</v>
      </c>
      <c r="E127" s="15" t="s">
        <v>280</v>
      </c>
      <c r="F127" s="15" t="s">
        <v>1468</v>
      </c>
      <c r="G127" s="23">
        <v>0.01</v>
      </c>
      <c r="H127" s="15" t="s">
        <v>290</v>
      </c>
      <c r="I127" s="15" t="s">
        <v>292</v>
      </c>
      <c r="J127" s="16"/>
      <c r="K127" s="16"/>
      <c r="L127" s="16"/>
      <c r="M127" s="16"/>
      <c r="N127" s="27"/>
      <c r="O127" s="16"/>
    </row>
    <row r="128" spans="1:15" ht="14.25" customHeight="1">
      <c r="A128" s="15" t="s">
        <v>1470</v>
      </c>
      <c r="B128" s="15" t="s">
        <v>1471</v>
      </c>
      <c r="C128" s="15" t="s">
        <v>280</v>
      </c>
      <c r="D128" s="15" t="s">
        <v>282</v>
      </c>
      <c r="E128" s="15" t="s">
        <v>280</v>
      </c>
      <c r="F128" s="15" t="s">
        <v>1472</v>
      </c>
      <c r="G128" s="23">
        <v>0.01</v>
      </c>
      <c r="H128" s="15" t="s">
        <v>290</v>
      </c>
      <c r="I128" s="15" t="s">
        <v>292</v>
      </c>
      <c r="J128" s="16"/>
      <c r="K128" s="16"/>
      <c r="L128" s="16"/>
      <c r="M128" s="16"/>
      <c r="N128" s="22"/>
      <c r="O128" s="16"/>
    </row>
    <row r="129" spans="1:15" ht="14.25" customHeight="1">
      <c r="A129" s="15" t="s">
        <v>1479</v>
      </c>
      <c r="B129" s="15" t="s">
        <v>1480</v>
      </c>
      <c r="C129" s="15" t="s">
        <v>280</v>
      </c>
      <c r="D129" s="15" t="s">
        <v>282</v>
      </c>
      <c r="E129" s="15" t="s">
        <v>280</v>
      </c>
      <c r="F129" s="15" t="s">
        <v>1482</v>
      </c>
      <c r="G129" s="23">
        <v>0.01</v>
      </c>
      <c r="H129" s="15" t="s">
        <v>290</v>
      </c>
      <c r="I129" s="15" t="s">
        <v>292</v>
      </c>
      <c r="J129" s="16"/>
      <c r="K129" s="16"/>
      <c r="L129" s="16"/>
      <c r="M129" s="16"/>
      <c r="N129" s="27"/>
      <c r="O129" s="16"/>
    </row>
    <row r="130" spans="1:15" ht="14.25" customHeight="1">
      <c r="A130" s="15" t="s">
        <v>1486</v>
      </c>
      <c r="B130" s="15" t="s">
        <v>1489</v>
      </c>
      <c r="C130" s="15" t="s">
        <v>280</v>
      </c>
      <c r="D130" s="15" t="s">
        <v>282</v>
      </c>
      <c r="E130" s="15" t="s">
        <v>280</v>
      </c>
      <c r="F130" s="15" t="s">
        <v>1491</v>
      </c>
      <c r="G130" s="23">
        <v>0.01</v>
      </c>
      <c r="H130" s="15" t="s">
        <v>290</v>
      </c>
      <c r="I130" s="15" t="s">
        <v>292</v>
      </c>
      <c r="J130" s="16"/>
      <c r="K130" s="16"/>
      <c r="L130" s="16"/>
      <c r="M130" s="16"/>
      <c r="N130" s="22"/>
      <c r="O130" s="16"/>
    </row>
    <row r="131" spans="1:15" ht="14.25" customHeight="1">
      <c r="A131" s="15" t="s">
        <v>1494</v>
      </c>
      <c r="B131" s="15" t="s">
        <v>1495</v>
      </c>
      <c r="C131" s="15" t="s">
        <v>280</v>
      </c>
      <c r="D131" s="15" t="s">
        <v>282</v>
      </c>
      <c r="E131" s="15" t="s">
        <v>280</v>
      </c>
      <c r="F131" s="15" t="s">
        <v>1496</v>
      </c>
      <c r="G131" s="23">
        <v>0.01</v>
      </c>
      <c r="H131" s="15" t="s">
        <v>290</v>
      </c>
      <c r="I131" s="15" t="s">
        <v>292</v>
      </c>
      <c r="J131" s="16"/>
      <c r="K131" s="16"/>
      <c r="L131" s="16"/>
      <c r="M131" s="16"/>
      <c r="N131" s="27"/>
      <c r="O131" s="16"/>
    </row>
    <row r="132" spans="1:15" ht="14.25" customHeight="1">
      <c r="A132" s="15" t="s">
        <v>1499</v>
      </c>
      <c r="B132" s="15" t="s">
        <v>1500</v>
      </c>
      <c r="C132" s="15" t="s">
        <v>280</v>
      </c>
      <c r="D132" s="15" t="s">
        <v>282</v>
      </c>
      <c r="E132" s="15" t="s">
        <v>280</v>
      </c>
      <c r="F132" s="15" t="s">
        <v>1503</v>
      </c>
      <c r="G132" s="23">
        <v>0.01</v>
      </c>
      <c r="H132" s="15" t="s">
        <v>290</v>
      </c>
      <c r="I132" s="15" t="s">
        <v>292</v>
      </c>
      <c r="J132" s="16"/>
      <c r="K132" s="16"/>
      <c r="L132" s="16"/>
      <c r="M132" s="16"/>
      <c r="N132" s="22"/>
      <c r="O132" s="16"/>
    </row>
    <row r="133" spans="1:15" ht="14.25" customHeight="1">
      <c r="A133" s="15" t="s">
        <v>1507</v>
      </c>
      <c r="B133" s="15" t="s">
        <v>1509</v>
      </c>
      <c r="C133" s="15" t="s">
        <v>280</v>
      </c>
      <c r="D133" s="15" t="s">
        <v>282</v>
      </c>
      <c r="E133" s="15" t="s">
        <v>280</v>
      </c>
      <c r="F133" s="15" t="s">
        <v>1511</v>
      </c>
      <c r="G133" s="23">
        <v>0.01</v>
      </c>
      <c r="H133" s="15" t="s">
        <v>290</v>
      </c>
      <c r="I133" s="15" t="s">
        <v>292</v>
      </c>
      <c r="J133" s="16"/>
      <c r="K133" s="16"/>
      <c r="L133" s="16"/>
      <c r="M133" s="16"/>
      <c r="N133" s="27"/>
      <c r="O133" s="16"/>
    </row>
    <row r="134" spans="1:15" ht="14.25" customHeight="1">
      <c r="A134" s="15" t="s">
        <v>1515</v>
      </c>
      <c r="B134" s="15" t="s">
        <v>1516</v>
      </c>
      <c r="C134" s="15" t="s">
        <v>280</v>
      </c>
      <c r="D134" s="15" t="s">
        <v>282</v>
      </c>
      <c r="E134" s="15" t="s">
        <v>280</v>
      </c>
      <c r="F134" s="15" t="s">
        <v>1518</v>
      </c>
      <c r="G134" s="23">
        <v>0.01</v>
      </c>
      <c r="H134" s="15" t="s">
        <v>290</v>
      </c>
      <c r="I134" s="15" t="s">
        <v>292</v>
      </c>
      <c r="J134" s="16"/>
      <c r="K134" s="16"/>
      <c r="L134" s="16"/>
      <c r="M134" s="16"/>
      <c r="N134" s="22"/>
      <c r="O134" s="16"/>
    </row>
    <row r="135" spans="1:15" ht="14.25" customHeight="1">
      <c r="A135" s="15" t="s">
        <v>1526</v>
      </c>
      <c r="B135" s="15" t="s">
        <v>1527</v>
      </c>
      <c r="C135" s="15" t="s">
        <v>280</v>
      </c>
      <c r="D135" s="15" t="s">
        <v>282</v>
      </c>
      <c r="E135" s="15" t="s">
        <v>280</v>
      </c>
      <c r="F135" s="15" t="s">
        <v>1528</v>
      </c>
      <c r="G135" s="23">
        <v>0.01</v>
      </c>
      <c r="H135" s="15" t="s">
        <v>290</v>
      </c>
      <c r="I135" s="15" t="s">
        <v>292</v>
      </c>
      <c r="J135" s="16"/>
      <c r="K135" s="16"/>
      <c r="L135" s="16"/>
      <c r="M135" s="16"/>
      <c r="N135" s="27"/>
      <c r="O135" s="16"/>
    </row>
    <row r="136" spans="1:15" ht="14.25" customHeight="1">
      <c r="A136" s="15" t="s">
        <v>1531</v>
      </c>
      <c r="B136" s="15" t="s">
        <v>1532</v>
      </c>
      <c r="C136" s="15" t="s">
        <v>280</v>
      </c>
      <c r="D136" s="15" t="s">
        <v>282</v>
      </c>
      <c r="E136" s="15" t="s">
        <v>280</v>
      </c>
      <c r="F136" s="15" t="s">
        <v>1533</v>
      </c>
      <c r="G136" s="23">
        <v>0.01</v>
      </c>
      <c r="H136" s="15" t="s">
        <v>290</v>
      </c>
      <c r="I136" s="15" t="s">
        <v>292</v>
      </c>
      <c r="J136" s="16"/>
      <c r="K136" s="16"/>
      <c r="L136" s="16"/>
      <c r="M136" s="16"/>
      <c r="N136" s="22"/>
      <c r="O136" s="16"/>
    </row>
    <row r="137" spans="1:15" ht="14.25" customHeight="1">
      <c r="A137" s="15" t="s">
        <v>1536</v>
      </c>
      <c r="B137" s="15" t="s">
        <v>1537</v>
      </c>
      <c r="C137" s="15" t="s">
        <v>280</v>
      </c>
      <c r="D137" s="15" t="s">
        <v>282</v>
      </c>
      <c r="E137" s="15" t="s">
        <v>280</v>
      </c>
      <c r="F137" s="15" t="s">
        <v>1539</v>
      </c>
      <c r="G137" s="23">
        <v>0.01</v>
      </c>
      <c r="H137" s="15" t="s">
        <v>290</v>
      </c>
      <c r="I137" s="15" t="s">
        <v>292</v>
      </c>
      <c r="J137" s="16"/>
      <c r="K137" s="16"/>
      <c r="L137" s="16"/>
      <c r="M137" s="16"/>
      <c r="N137" s="27"/>
      <c r="O137" s="16"/>
    </row>
    <row r="138" spans="1:15" ht="14.25" customHeight="1">
      <c r="A138" s="15" t="s">
        <v>1543</v>
      </c>
      <c r="B138" s="15" t="s">
        <v>1544</v>
      </c>
      <c r="C138" s="15" t="s">
        <v>280</v>
      </c>
      <c r="D138" s="15" t="s">
        <v>282</v>
      </c>
      <c r="E138" s="15" t="s">
        <v>280</v>
      </c>
      <c r="F138" s="15" t="s">
        <v>1545</v>
      </c>
      <c r="G138" s="23">
        <v>0.01</v>
      </c>
      <c r="H138" s="15" t="s">
        <v>290</v>
      </c>
      <c r="I138" s="15" t="s">
        <v>292</v>
      </c>
      <c r="J138" s="16"/>
      <c r="K138" s="16"/>
      <c r="L138" s="16"/>
      <c r="M138" s="16"/>
      <c r="N138" s="22"/>
      <c r="O138" s="16"/>
    </row>
    <row r="139" spans="1:15" ht="14.25" customHeight="1">
      <c r="A139" s="15" t="s">
        <v>1554</v>
      </c>
      <c r="B139" s="15" t="s">
        <v>1555</v>
      </c>
      <c r="C139" s="15" t="s">
        <v>280</v>
      </c>
      <c r="D139" s="15" t="s">
        <v>282</v>
      </c>
      <c r="E139" s="15" t="s">
        <v>280</v>
      </c>
      <c r="F139" s="15" t="s">
        <v>1556</v>
      </c>
      <c r="G139" s="23">
        <v>0.01</v>
      </c>
      <c r="H139" s="15" t="s">
        <v>290</v>
      </c>
      <c r="I139" s="15" t="s">
        <v>292</v>
      </c>
      <c r="J139" s="16"/>
      <c r="K139" s="16"/>
      <c r="L139" s="16"/>
      <c r="M139" s="16"/>
      <c r="N139" s="27"/>
      <c r="O139" s="16"/>
    </row>
    <row r="140" spans="1:15" ht="14.25" customHeight="1">
      <c r="A140" s="15" t="s">
        <v>1559</v>
      </c>
      <c r="B140" s="15" t="s">
        <v>1560</v>
      </c>
      <c r="C140" s="15" t="s">
        <v>280</v>
      </c>
      <c r="D140" s="15" t="s">
        <v>282</v>
      </c>
      <c r="E140" s="15" t="s">
        <v>280</v>
      </c>
      <c r="F140" s="15" t="s">
        <v>1563</v>
      </c>
      <c r="G140" s="23">
        <v>0.01</v>
      </c>
      <c r="H140" s="15" t="s">
        <v>290</v>
      </c>
      <c r="I140" s="15" t="s">
        <v>292</v>
      </c>
      <c r="J140" s="16"/>
      <c r="K140" s="16"/>
      <c r="L140" s="16"/>
      <c r="M140" s="16"/>
      <c r="N140" s="22"/>
      <c r="O140" s="16"/>
    </row>
    <row r="141" spans="1:15" ht="14.25" customHeight="1">
      <c r="A141" s="15" t="s">
        <v>1567</v>
      </c>
      <c r="B141" s="15" t="s">
        <v>1568</v>
      </c>
      <c r="C141" s="15" t="s">
        <v>280</v>
      </c>
      <c r="D141" s="15" t="s">
        <v>282</v>
      </c>
      <c r="E141" s="15" t="s">
        <v>280</v>
      </c>
      <c r="F141" s="15" t="s">
        <v>1571</v>
      </c>
      <c r="G141" s="23">
        <v>0.01</v>
      </c>
      <c r="H141" s="15" t="s">
        <v>290</v>
      </c>
      <c r="I141" s="15" t="s">
        <v>292</v>
      </c>
      <c r="J141" s="16"/>
      <c r="K141" s="16"/>
      <c r="L141" s="16"/>
      <c r="M141" s="16"/>
      <c r="N141" s="27"/>
      <c r="O141" s="16"/>
    </row>
    <row r="142" spans="1:15" ht="14.25" customHeight="1">
      <c r="A142" s="15" t="s">
        <v>1579</v>
      </c>
      <c r="B142" s="15" t="s">
        <v>1580</v>
      </c>
      <c r="C142" s="15" t="s">
        <v>280</v>
      </c>
      <c r="D142" s="15" t="s">
        <v>282</v>
      </c>
      <c r="E142" s="15" t="s">
        <v>280</v>
      </c>
      <c r="F142" s="15" t="s">
        <v>1583</v>
      </c>
      <c r="G142" s="23">
        <v>0.01</v>
      </c>
      <c r="H142" s="15" t="s">
        <v>290</v>
      </c>
      <c r="I142" s="15" t="s">
        <v>292</v>
      </c>
      <c r="J142" s="16"/>
      <c r="K142" s="16"/>
      <c r="L142" s="16"/>
      <c r="M142" s="16"/>
      <c r="N142" s="22"/>
      <c r="O142" s="16"/>
    </row>
    <row r="143" spans="1:15" ht="14.25" customHeight="1">
      <c r="A143" s="15" t="s">
        <v>1590</v>
      </c>
      <c r="B143" s="15" t="s">
        <v>1591</v>
      </c>
      <c r="C143" s="15" t="s">
        <v>280</v>
      </c>
      <c r="D143" s="15" t="s">
        <v>282</v>
      </c>
      <c r="E143" s="15" t="s">
        <v>280</v>
      </c>
      <c r="F143" s="15" t="s">
        <v>1594</v>
      </c>
      <c r="G143" s="23">
        <v>0.01</v>
      </c>
      <c r="H143" s="15" t="s">
        <v>290</v>
      </c>
      <c r="I143" s="15" t="s">
        <v>292</v>
      </c>
      <c r="J143" s="16"/>
      <c r="K143" s="16"/>
      <c r="L143" s="16"/>
      <c r="M143" s="16"/>
      <c r="N143" s="27"/>
      <c r="O143" s="16"/>
    </row>
    <row r="144" spans="1:15" ht="14.25" customHeight="1">
      <c r="A144" s="15" t="s">
        <v>1600</v>
      </c>
      <c r="B144" s="15" t="s">
        <v>1601</v>
      </c>
      <c r="C144" s="15" t="s">
        <v>280</v>
      </c>
      <c r="D144" s="15" t="s">
        <v>282</v>
      </c>
      <c r="E144" s="15" t="s">
        <v>280</v>
      </c>
      <c r="F144" s="15" t="s">
        <v>1602</v>
      </c>
      <c r="G144" s="23">
        <v>0.01</v>
      </c>
      <c r="H144" s="15" t="s">
        <v>290</v>
      </c>
      <c r="I144" s="15" t="s">
        <v>292</v>
      </c>
      <c r="J144" s="16"/>
      <c r="K144" s="16"/>
      <c r="L144" s="16"/>
      <c r="M144" s="16"/>
      <c r="N144" s="22"/>
      <c r="O144" s="16"/>
    </row>
    <row r="145" spans="1:15" ht="14.25" customHeight="1">
      <c r="A145" s="15" t="s">
        <v>1605</v>
      </c>
      <c r="B145" s="15" t="s">
        <v>1606</v>
      </c>
      <c r="C145" s="15" t="s">
        <v>280</v>
      </c>
      <c r="D145" s="15" t="s">
        <v>282</v>
      </c>
      <c r="E145" s="15" t="s">
        <v>280</v>
      </c>
      <c r="F145" s="15" t="s">
        <v>1610</v>
      </c>
      <c r="G145" s="23">
        <v>0.01</v>
      </c>
      <c r="H145" s="15" t="s">
        <v>290</v>
      </c>
      <c r="I145" s="15" t="s">
        <v>292</v>
      </c>
      <c r="J145" s="16"/>
      <c r="K145" s="16"/>
      <c r="L145" s="16"/>
      <c r="M145" s="16"/>
      <c r="N145" s="27"/>
      <c r="O145" s="16"/>
    </row>
    <row r="146" spans="1:15" ht="14.25" customHeight="1">
      <c r="A146" s="15" t="s">
        <v>1612</v>
      </c>
      <c r="B146" s="15" t="s">
        <v>1613</v>
      </c>
      <c r="C146" s="15" t="s">
        <v>280</v>
      </c>
      <c r="D146" s="15" t="s">
        <v>282</v>
      </c>
      <c r="E146" s="15" t="s">
        <v>280</v>
      </c>
      <c r="F146" s="15" t="s">
        <v>1614</v>
      </c>
      <c r="G146" s="23">
        <v>0.01</v>
      </c>
      <c r="H146" s="15" t="s">
        <v>290</v>
      </c>
      <c r="I146" s="15" t="s">
        <v>292</v>
      </c>
      <c r="J146" s="16"/>
      <c r="K146" s="16"/>
      <c r="L146" s="16"/>
      <c r="M146" s="16"/>
      <c r="N146" s="22"/>
      <c r="O146" s="16"/>
    </row>
    <row r="147" spans="1:15" ht="14.25" customHeight="1">
      <c r="A147" s="15" t="s">
        <v>1615</v>
      </c>
      <c r="B147" s="15" t="s">
        <v>1616</v>
      </c>
      <c r="C147" s="15" t="s">
        <v>280</v>
      </c>
      <c r="D147" s="15" t="s">
        <v>282</v>
      </c>
      <c r="E147" s="15" t="s">
        <v>280</v>
      </c>
      <c r="F147" s="15" t="s">
        <v>1617</v>
      </c>
      <c r="G147" s="23">
        <v>0.01</v>
      </c>
      <c r="H147" s="15" t="s">
        <v>290</v>
      </c>
      <c r="I147" s="15" t="s">
        <v>292</v>
      </c>
      <c r="J147" s="16"/>
      <c r="K147" s="16"/>
      <c r="L147" s="16"/>
      <c r="M147" s="16"/>
      <c r="N147" s="27"/>
      <c r="O147" s="16"/>
    </row>
    <row r="148" spans="1:15" ht="14.25" customHeight="1">
      <c r="A148" s="15" t="s">
        <v>1618</v>
      </c>
      <c r="B148" s="15" t="s">
        <v>1619</v>
      </c>
      <c r="C148" s="15" t="s">
        <v>280</v>
      </c>
      <c r="D148" s="15" t="s">
        <v>282</v>
      </c>
      <c r="E148" s="15" t="s">
        <v>280</v>
      </c>
      <c r="F148" s="15" t="s">
        <v>1620</v>
      </c>
      <c r="G148" s="23">
        <v>0.01</v>
      </c>
      <c r="H148" s="15" t="s">
        <v>290</v>
      </c>
      <c r="I148" s="15" t="s">
        <v>292</v>
      </c>
      <c r="J148" s="16"/>
      <c r="K148" s="16"/>
      <c r="L148" s="16"/>
      <c r="M148" s="16"/>
      <c r="N148" s="22"/>
      <c r="O148" s="16"/>
    </row>
    <row r="149" spans="1:15" ht="14.25" customHeight="1">
      <c r="A149" s="15" t="s">
        <v>1621</v>
      </c>
      <c r="B149" s="15" t="s">
        <v>1622</v>
      </c>
      <c r="C149" s="15" t="s">
        <v>280</v>
      </c>
      <c r="D149" s="15" t="s">
        <v>282</v>
      </c>
      <c r="E149" s="15" t="s">
        <v>280</v>
      </c>
      <c r="F149" s="15" t="s">
        <v>1623</v>
      </c>
      <c r="G149" s="23">
        <v>0.01</v>
      </c>
      <c r="H149" s="15" t="s">
        <v>290</v>
      </c>
      <c r="I149" s="15" t="s">
        <v>292</v>
      </c>
      <c r="J149" s="16"/>
      <c r="K149" s="16"/>
      <c r="L149" s="16"/>
      <c r="M149" s="16"/>
      <c r="N149" s="27"/>
      <c r="O149" s="16"/>
    </row>
    <row r="150" spans="1:15" ht="14.25" customHeight="1">
      <c r="A150" s="15" t="s">
        <v>1624</v>
      </c>
      <c r="B150" s="15" t="s">
        <v>1625</v>
      </c>
      <c r="C150" s="15" t="s">
        <v>280</v>
      </c>
      <c r="D150" s="15" t="s">
        <v>282</v>
      </c>
      <c r="E150" s="15" t="s">
        <v>280</v>
      </c>
      <c r="F150" s="15" t="s">
        <v>1626</v>
      </c>
      <c r="G150" s="23">
        <v>0.01</v>
      </c>
      <c r="H150" s="15" t="s">
        <v>290</v>
      </c>
      <c r="I150" s="15" t="s">
        <v>292</v>
      </c>
      <c r="J150" s="16"/>
      <c r="K150" s="16"/>
      <c r="L150" s="16"/>
      <c r="M150" s="16"/>
      <c r="N150" s="22"/>
      <c r="O150" s="16"/>
    </row>
    <row r="151" spans="1:15" ht="14.25" customHeight="1">
      <c r="A151" s="15" t="s">
        <v>1627</v>
      </c>
      <c r="B151" s="15" t="s">
        <v>1628</v>
      </c>
      <c r="C151" s="15" t="s">
        <v>280</v>
      </c>
      <c r="D151" s="15" t="s">
        <v>282</v>
      </c>
      <c r="E151" s="15" t="s">
        <v>280</v>
      </c>
      <c r="F151" s="15" t="s">
        <v>1629</v>
      </c>
      <c r="G151" s="23">
        <v>0.01</v>
      </c>
      <c r="H151" s="15" t="s">
        <v>290</v>
      </c>
      <c r="I151" s="15" t="s">
        <v>292</v>
      </c>
      <c r="J151" s="16"/>
      <c r="K151" s="16"/>
      <c r="L151" s="16"/>
      <c r="M151" s="16"/>
      <c r="N151" s="27"/>
      <c r="O151" s="16"/>
    </row>
    <row r="152" spans="1:15" ht="14.25" customHeight="1">
      <c r="A152" s="15" t="s">
        <v>1630</v>
      </c>
      <c r="B152" s="15" t="s">
        <v>1631</v>
      </c>
      <c r="C152" s="15" t="s">
        <v>280</v>
      </c>
      <c r="D152" s="15" t="s">
        <v>282</v>
      </c>
      <c r="E152" s="15" t="s">
        <v>280</v>
      </c>
      <c r="F152" s="15" t="s">
        <v>1632</v>
      </c>
      <c r="G152" s="23">
        <v>0.01</v>
      </c>
      <c r="H152" s="15" t="s">
        <v>290</v>
      </c>
      <c r="I152" s="15" t="s">
        <v>292</v>
      </c>
      <c r="J152" s="16"/>
      <c r="K152" s="16"/>
      <c r="L152" s="16"/>
      <c r="M152" s="16"/>
      <c r="N152" s="22"/>
      <c r="O152" s="16"/>
    </row>
    <row r="153" spans="1:15" ht="14.25" customHeight="1">
      <c r="A153" s="15" t="s">
        <v>1633</v>
      </c>
      <c r="B153" s="15" t="s">
        <v>1634</v>
      </c>
      <c r="C153" s="15" t="s">
        <v>280</v>
      </c>
      <c r="D153" s="15" t="s">
        <v>282</v>
      </c>
      <c r="E153" s="15" t="s">
        <v>280</v>
      </c>
      <c r="F153" s="15" t="s">
        <v>1635</v>
      </c>
      <c r="G153" s="23">
        <v>0.01</v>
      </c>
      <c r="H153" s="15" t="s">
        <v>290</v>
      </c>
      <c r="I153" s="15" t="s">
        <v>292</v>
      </c>
      <c r="J153" s="16"/>
      <c r="K153" s="16"/>
      <c r="L153" s="16"/>
      <c r="M153" s="16"/>
      <c r="N153" s="27"/>
      <c r="O153" s="16"/>
    </row>
    <row r="154" spans="1:15" ht="14.25" customHeight="1">
      <c r="A154" s="15" t="s">
        <v>1636</v>
      </c>
      <c r="B154" s="15" t="s">
        <v>1637</v>
      </c>
      <c r="C154" s="15" t="s">
        <v>280</v>
      </c>
      <c r="D154" s="15" t="s">
        <v>282</v>
      </c>
      <c r="E154" s="15" t="s">
        <v>280</v>
      </c>
      <c r="F154" s="15" t="s">
        <v>1638</v>
      </c>
      <c r="G154" s="23">
        <v>0.01</v>
      </c>
      <c r="H154" s="15" t="s">
        <v>290</v>
      </c>
      <c r="I154" s="15" t="s">
        <v>292</v>
      </c>
      <c r="J154" s="16"/>
      <c r="K154" s="16"/>
      <c r="L154" s="16"/>
      <c r="M154" s="16"/>
      <c r="N154" s="22"/>
      <c r="O154" s="16"/>
    </row>
    <row r="155" spans="1:15" ht="14.25" customHeight="1">
      <c r="A155" s="15" t="s">
        <v>1639</v>
      </c>
      <c r="B155" s="15" t="s">
        <v>1640</v>
      </c>
      <c r="C155" s="15" t="s">
        <v>280</v>
      </c>
      <c r="D155" s="15" t="s">
        <v>282</v>
      </c>
      <c r="E155" s="15" t="s">
        <v>280</v>
      </c>
      <c r="F155" s="15" t="s">
        <v>1641</v>
      </c>
      <c r="G155" s="23">
        <v>0.01</v>
      </c>
      <c r="H155" s="15" t="s">
        <v>290</v>
      </c>
      <c r="I155" s="15" t="s">
        <v>292</v>
      </c>
      <c r="J155" s="16"/>
      <c r="K155" s="16"/>
      <c r="L155" s="16"/>
      <c r="M155" s="16"/>
      <c r="N155" s="27"/>
      <c r="O155" s="16"/>
    </row>
    <row r="156" spans="1:15" ht="14.25" customHeight="1">
      <c r="A156" s="15" t="s">
        <v>1642</v>
      </c>
      <c r="B156" s="15" t="s">
        <v>1643</v>
      </c>
      <c r="C156" s="15" t="s">
        <v>280</v>
      </c>
      <c r="D156" s="15" t="s">
        <v>282</v>
      </c>
      <c r="E156" s="15" t="s">
        <v>280</v>
      </c>
      <c r="F156" s="15" t="s">
        <v>1644</v>
      </c>
      <c r="G156" s="23">
        <v>0.01</v>
      </c>
      <c r="H156" s="15" t="s">
        <v>290</v>
      </c>
      <c r="I156" s="15" t="s">
        <v>292</v>
      </c>
      <c r="J156" s="16"/>
      <c r="K156" s="16"/>
      <c r="L156" s="16"/>
      <c r="M156" s="16"/>
      <c r="N156" s="22"/>
      <c r="O156" s="16"/>
    </row>
    <row r="157" spans="1:15" ht="14.25" customHeight="1">
      <c r="A157" s="15" t="s">
        <v>1645</v>
      </c>
      <c r="B157" s="15" t="s">
        <v>1646</v>
      </c>
      <c r="C157" s="15" t="s">
        <v>280</v>
      </c>
      <c r="D157" s="15" t="s">
        <v>282</v>
      </c>
      <c r="E157" s="15" t="s">
        <v>280</v>
      </c>
      <c r="F157" s="15" t="s">
        <v>1647</v>
      </c>
      <c r="G157" s="23">
        <v>0.01</v>
      </c>
      <c r="H157" s="15" t="s">
        <v>290</v>
      </c>
      <c r="I157" s="15" t="s">
        <v>292</v>
      </c>
      <c r="J157" s="16"/>
      <c r="K157" s="16"/>
      <c r="L157" s="16"/>
      <c r="M157" s="16"/>
      <c r="N157" s="27"/>
      <c r="O157" s="16"/>
    </row>
    <row r="158" spans="1:15" ht="14.25" customHeight="1">
      <c r="A158" s="15" t="s">
        <v>1648</v>
      </c>
      <c r="B158" s="15" t="s">
        <v>1649</v>
      </c>
      <c r="C158" s="15" t="s">
        <v>280</v>
      </c>
      <c r="D158" s="15" t="s">
        <v>282</v>
      </c>
      <c r="E158" s="15" t="s">
        <v>280</v>
      </c>
      <c r="F158" s="15" t="s">
        <v>1650</v>
      </c>
      <c r="G158" s="23">
        <v>0.01</v>
      </c>
      <c r="H158" s="15" t="s">
        <v>290</v>
      </c>
      <c r="I158" s="15" t="s">
        <v>292</v>
      </c>
      <c r="J158" s="16"/>
      <c r="K158" s="16"/>
      <c r="L158" s="16"/>
      <c r="M158" s="16"/>
      <c r="N158" s="22"/>
      <c r="O158" s="16"/>
    </row>
    <row r="159" spans="1:15" ht="14.25" customHeight="1">
      <c r="A159" s="15" t="s">
        <v>1651</v>
      </c>
      <c r="B159" s="15" t="s">
        <v>1652</v>
      </c>
      <c r="C159" s="15" t="s">
        <v>280</v>
      </c>
      <c r="D159" s="15" t="s">
        <v>282</v>
      </c>
      <c r="E159" s="15" t="s">
        <v>280</v>
      </c>
      <c r="F159" s="15" t="s">
        <v>1653</v>
      </c>
      <c r="G159" s="23">
        <v>0.01</v>
      </c>
      <c r="H159" s="15" t="s">
        <v>290</v>
      </c>
      <c r="I159" s="15" t="s">
        <v>292</v>
      </c>
      <c r="J159" s="16"/>
      <c r="K159" s="16"/>
      <c r="L159" s="16"/>
      <c r="M159" s="16"/>
      <c r="N159" s="27"/>
      <c r="O159" s="16"/>
    </row>
    <row r="160" spans="1:15" ht="14.25" customHeight="1">
      <c r="A160" s="15" t="s">
        <v>1654</v>
      </c>
      <c r="B160" s="15" t="s">
        <v>1655</v>
      </c>
      <c r="C160" s="15" t="s">
        <v>280</v>
      </c>
      <c r="D160" s="15" t="s">
        <v>282</v>
      </c>
      <c r="E160" s="15" t="s">
        <v>280</v>
      </c>
      <c r="F160" s="15" t="s">
        <v>1656</v>
      </c>
      <c r="G160" s="23">
        <v>0.01</v>
      </c>
      <c r="H160" s="15" t="s">
        <v>290</v>
      </c>
      <c r="I160" s="15" t="s">
        <v>292</v>
      </c>
      <c r="J160" s="16"/>
      <c r="K160" s="16"/>
      <c r="L160" s="16"/>
      <c r="M160" s="16"/>
      <c r="N160" s="22"/>
      <c r="O160" s="16"/>
    </row>
    <row r="161" spans="1:15" ht="14.25" customHeight="1">
      <c r="A161" s="15" t="s">
        <v>1657</v>
      </c>
      <c r="B161" s="15" t="s">
        <v>1658</v>
      </c>
      <c r="C161" s="15" t="s">
        <v>280</v>
      </c>
      <c r="D161" s="15" t="s">
        <v>282</v>
      </c>
      <c r="E161" s="15" t="s">
        <v>280</v>
      </c>
      <c r="F161" s="15" t="s">
        <v>1659</v>
      </c>
      <c r="G161" s="23">
        <v>0.01</v>
      </c>
      <c r="H161" s="15" t="s">
        <v>290</v>
      </c>
      <c r="I161" s="15" t="s">
        <v>292</v>
      </c>
      <c r="J161" s="16"/>
      <c r="K161" s="16"/>
      <c r="L161" s="16"/>
      <c r="M161" s="16"/>
      <c r="N161" s="27"/>
      <c r="O161" s="16"/>
    </row>
    <row r="162" spans="1:15" ht="14.25" customHeight="1">
      <c r="A162" s="15" t="s">
        <v>1660</v>
      </c>
      <c r="B162" s="15" t="s">
        <v>1661</v>
      </c>
      <c r="C162" s="15" t="s">
        <v>280</v>
      </c>
      <c r="D162" s="15" t="s">
        <v>282</v>
      </c>
      <c r="E162" s="15" t="s">
        <v>280</v>
      </c>
      <c r="F162" s="15" t="s">
        <v>1662</v>
      </c>
      <c r="G162" s="23">
        <v>0.01</v>
      </c>
      <c r="H162" s="15" t="s">
        <v>290</v>
      </c>
      <c r="I162" s="15" t="s">
        <v>292</v>
      </c>
      <c r="J162" s="16"/>
      <c r="K162" s="16"/>
      <c r="L162" s="16"/>
      <c r="M162" s="16"/>
      <c r="N162" s="22"/>
      <c r="O162" s="16"/>
    </row>
    <row r="163" spans="1:15" ht="14.25" customHeight="1">
      <c r="A163" s="15" t="s">
        <v>1663</v>
      </c>
      <c r="B163" s="15" t="s">
        <v>1664</v>
      </c>
      <c r="C163" s="15" t="s">
        <v>280</v>
      </c>
      <c r="D163" s="15" t="s">
        <v>282</v>
      </c>
      <c r="E163" s="15" t="s">
        <v>280</v>
      </c>
      <c r="F163" s="15" t="s">
        <v>1665</v>
      </c>
      <c r="G163" s="23">
        <v>0.01</v>
      </c>
      <c r="H163" s="15" t="s">
        <v>290</v>
      </c>
      <c r="I163" s="15" t="s">
        <v>292</v>
      </c>
      <c r="J163" s="16"/>
      <c r="K163" s="16"/>
      <c r="L163" s="16"/>
      <c r="M163" s="16"/>
      <c r="N163" s="27"/>
      <c r="O163" s="16"/>
    </row>
    <row r="164" spans="1:15" ht="14.25" customHeight="1">
      <c r="A164" s="15" t="s">
        <v>1666</v>
      </c>
      <c r="B164" s="15" t="s">
        <v>1667</v>
      </c>
      <c r="C164" s="15" t="s">
        <v>280</v>
      </c>
      <c r="D164" s="15" t="s">
        <v>282</v>
      </c>
      <c r="E164" s="15" t="s">
        <v>280</v>
      </c>
      <c r="F164" s="15" t="s">
        <v>1668</v>
      </c>
      <c r="G164" s="23">
        <v>0.01</v>
      </c>
      <c r="H164" s="15" t="s">
        <v>290</v>
      </c>
      <c r="I164" s="15" t="s">
        <v>292</v>
      </c>
      <c r="J164" s="16"/>
      <c r="K164" s="16"/>
      <c r="L164" s="16"/>
      <c r="M164" s="16"/>
      <c r="N164" s="22"/>
      <c r="O164" s="16"/>
    </row>
    <row r="165" spans="1:15" ht="14.25" customHeight="1">
      <c r="A165" s="15" t="s">
        <v>1669</v>
      </c>
      <c r="B165" s="15" t="s">
        <v>1670</v>
      </c>
      <c r="C165" s="15" t="s">
        <v>280</v>
      </c>
      <c r="D165" s="15" t="s">
        <v>282</v>
      </c>
      <c r="E165" s="15" t="s">
        <v>280</v>
      </c>
      <c r="F165" s="15" t="s">
        <v>1671</v>
      </c>
      <c r="G165" s="23">
        <v>0.01</v>
      </c>
      <c r="H165" s="15" t="s">
        <v>290</v>
      </c>
      <c r="I165" s="15" t="s">
        <v>292</v>
      </c>
      <c r="J165" s="16"/>
      <c r="K165" s="16"/>
      <c r="L165" s="16"/>
      <c r="M165" s="16"/>
      <c r="N165" s="27"/>
      <c r="O165" s="16"/>
    </row>
    <row r="166" spans="1:15" ht="14.25" customHeight="1">
      <c r="A166" s="15" t="s">
        <v>1672</v>
      </c>
      <c r="B166" s="15" t="s">
        <v>1673</v>
      </c>
      <c r="C166" s="15" t="s">
        <v>280</v>
      </c>
      <c r="D166" s="15" t="s">
        <v>282</v>
      </c>
      <c r="E166" s="15" t="s">
        <v>280</v>
      </c>
      <c r="F166" s="15" t="s">
        <v>1674</v>
      </c>
      <c r="G166" s="23">
        <v>0.01</v>
      </c>
      <c r="H166" s="15" t="s">
        <v>290</v>
      </c>
      <c r="I166" s="15" t="s">
        <v>292</v>
      </c>
      <c r="J166" s="16"/>
      <c r="K166" s="16"/>
      <c r="L166" s="16"/>
      <c r="M166" s="16"/>
      <c r="N166" s="22"/>
      <c r="O166" s="16"/>
    </row>
    <row r="167" spans="1:15" ht="14.25" customHeight="1">
      <c r="A167" s="15" t="s">
        <v>1675</v>
      </c>
      <c r="B167" s="15" t="s">
        <v>1676</v>
      </c>
      <c r="C167" s="15" t="s">
        <v>280</v>
      </c>
      <c r="D167" s="15" t="s">
        <v>282</v>
      </c>
      <c r="E167" s="15" t="s">
        <v>280</v>
      </c>
      <c r="F167" s="15" t="s">
        <v>1677</v>
      </c>
      <c r="G167" s="23">
        <v>0.01</v>
      </c>
      <c r="H167" s="15" t="s">
        <v>290</v>
      </c>
      <c r="I167" s="15" t="s">
        <v>292</v>
      </c>
      <c r="J167" s="16"/>
      <c r="K167" s="16"/>
      <c r="L167" s="16"/>
      <c r="M167" s="16"/>
      <c r="N167" s="27"/>
      <c r="O167" s="16"/>
    </row>
    <row r="168" spans="1:15" ht="14.25" customHeight="1">
      <c r="A168" s="15" t="s">
        <v>1678</v>
      </c>
      <c r="B168" s="15" t="s">
        <v>1679</v>
      </c>
      <c r="C168" s="15" t="s">
        <v>280</v>
      </c>
      <c r="D168" s="15" t="s">
        <v>282</v>
      </c>
      <c r="E168" s="15" t="s">
        <v>280</v>
      </c>
      <c r="F168" s="15" t="s">
        <v>1680</v>
      </c>
      <c r="G168" s="23">
        <v>0.01</v>
      </c>
      <c r="H168" s="15" t="s">
        <v>290</v>
      </c>
      <c r="I168" s="15" t="s">
        <v>292</v>
      </c>
      <c r="J168" s="16"/>
      <c r="K168" s="16"/>
      <c r="L168" s="16"/>
      <c r="M168" s="16"/>
      <c r="N168" s="22"/>
      <c r="O168" s="16"/>
    </row>
    <row r="169" spans="1:15" ht="14.25" customHeight="1">
      <c r="A169" s="15" t="s">
        <v>1681</v>
      </c>
      <c r="B169" s="15" t="s">
        <v>1682</v>
      </c>
      <c r="C169" s="15" t="s">
        <v>280</v>
      </c>
      <c r="D169" s="15" t="s">
        <v>282</v>
      </c>
      <c r="E169" s="15" t="s">
        <v>280</v>
      </c>
      <c r="F169" s="15" t="s">
        <v>1683</v>
      </c>
      <c r="G169" s="23">
        <v>0.01</v>
      </c>
      <c r="H169" s="15" t="s">
        <v>290</v>
      </c>
      <c r="I169" s="15" t="s">
        <v>292</v>
      </c>
      <c r="J169" s="16"/>
      <c r="K169" s="16"/>
      <c r="L169" s="16"/>
      <c r="M169" s="16"/>
      <c r="N169" s="27"/>
      <c r="O169" s="16"/>
    </row>
    <row r="170" spans="1:15" ht="14.25" customHeight="1">
      <c r="A170" s="15" t="s">
        <v>1684</v>
      </c>
      <c r="B170" s="15" t="s">
        <v>1685</v>
      </c>
      <c r="C170" s="15" t="s">
        <v>280</v>
      </c>
      <c r="D170" s="15" t="s">
        <v>282</v>
      </c>
      <c r="E170" s="15" t="s">
        <v>280</v>
      </c>
      <c r="F170" s="15" t="s">
        <v>1686</v>
      </c>
      <c r="G170" s="23">
        <v>0.01</v>
      </c>
      <c r="H170" s="15" t="s">
        <v>290</v>
      </c>
      <c r="I170" s="15" t="s">
        <v>292</v>
      </c>
      <c r="J170" s="16"/>
      <c r="K170" s="16"/>
      <c r="L170" s="16"/>
      <c r="M170" s="16"/>
      <c r="N170" s="22"/>
      <c r="O170" s="16"/>
    </row>
    <row r="171" spans="1:15" ht="14.25" customHeight="1">
      <c r="A171" s="15" t="s">
        <v>1687</v>
      </c>
      <c r="B171" s="15" t="s">
        <v>1688</v>
      </c>
      <c r="C171" s="15" t="s">
        <v>280</v>
      </c>
      <c r="D171" s="15" t="s">
        <v>282</v>
      </c>
      <c r="E171" s="15" t="s">
        <v>280</v>
      </c>
      <c r="F171" s="15" t="s">
        <v>1689</v>
      </c>
      <c r="G171" s="23">
        <v>0.01</v>
      </c>
      <c r="H171" s="15" t="s">
        <v>290</v>
      </c>
      <c r="I171" s="15" t="s">
        <v>292</v>
      </c>
      <c r="J171" s="16"/>
      <c r="K171" s="16"/>
      <c r="L171" s="16"/>
      <c r="M171" s="16"/>
      <c r="N171" s="27"/>
      <c r="O171" s="16"/>
    </row>
    <row r="172" spans="1:15" ht="14.25" customHeight="1">
      <c r="A172" s="15" t="s">
        <v>1690</v>
      </c>
      <c r="B172" s="15" t="s">
        <v>1691</v>
      </c>
      <c r="C172" s="15" t="s">
        <v>280</v>
      </c>
      <c r="D172" s="15" t="s">
        <v>282</v>
      </c>
      <c r="E172" s="15" t="s">
        <v>280</v>
      </c>
      <c r="F172" s="15" t="s">
        <v>1692</v>
      </c>
      <c r="G172" s="23">
        <v>0.01</v>
      </c>
      <c r="H172" s="15" t="s">
        <v>290</v>
      </c>
      <c r="I172" s="15" t="s">
        <v>292</v>
      </c>
      <c r="J172" s="16"/>
      <c r="K172" s="16"/>
      <c r="L172" s="16"/>
      <c r="M172" s="16"/>
      <c r="N172" s="22"/>
      <c r="O172" s="16"/>
    </row>
    <row r="173" spans="1:15" ht="14.25" customHeight="1">
      <c r="A173" s="15" t="s">
        <v>1693</v>
      </c>
      <c r="B173" s="15" t="s">
        <v>1694</v>
      </c>
      <c r="C173" s="15" t="s">
        <v>280</v>
      </c>
      <c r="D173" s="15" t="s">
        <v>282</v>
      </c>
      <c r="E173" s="15" t="s">
        <v>280</v>
      </c>
      <c r="F173" s="15" t="s">
        <v>1695</v>
      </c>
      <c r="G173" s="23">
        <v>0.01</v>
      </c>
      <c r="H173" s="15" t="s">
        <v>290</v>
      </c>
      <c r="I173" s="15" t="s">
        <v>292</v>
      </c>
      <c r="J173" s="16"/>
      <c r="K173" s="16"/>
      <c r="L173" s="16"/>
      <c r="M173" s="16"/>
      <c r="N173" s="27"/>
      <c r="O173" s="16"/>
    </row>
    <row r="174" spans="1:15" ht="14.25" customHeight="1">
      <c r="A174" s="15" t="s">
        <v>1696</v>
      </c>
      <c r="B174" s="15" t="s">
        <v>1697</v>
      </c>
      <c r="C174" s="15" t="s">
        <v>280</v>
      </c>
      <c r="D174" s="15" t="s">
        <v>282</v>
      </c>
      <c r="E174" s="15" t="s">
        <v>280</v>
      </c>
      <c r="F174" s="15" t="s">
        <v>1698</v>
      </c>
      <c r="G174" s="23">
        <v>0.01</v>
      </c>
      <c r="H174" s="15" t="s">
        <v>290</v>
      </c>
      <c r="I174" s="15" t="s">
        <v>292</v>
      </c>
      <c r="J174" s="16"/>
      <c r="K174" s="16"/>
      <c r="L174" s="16"/>
      <c r="M174" s="16"/>
      <c r="N174" s="22"/>
      <c r="O174" s="16"/>
    </row>
    <row r="175" spans="1:15" ht="14.25" customHeight="1">
      <c r="A175" s="16" t="s">
        <v>1699</v>
      </c>
      <c r="B175" s="16" t="s">
        <v>1700</v>
      </c>
      <c r="C175" s="16" t="s">
        <v>1699</v>
      </c>
      <c r="D175" s="15" t="s">
        <v>1701</v>
      </c>
      <c r="E175" s="16" t="s">
        <v>1702</v>
      </c>
      <c r="F175" s="16" t="s">
        <v>1703</v>
      </c>
      <c r="G175" s="23">
        <v>0.50</v>
      </c>
      <c r="H175" s="15" t="s">
        <v>1704</v>
      </c>
      <c r="I175" s="16" t="s">
        <v>1705</v>
      </c>
      <c r="J175" s="16"/>
      <c r="K175" s="16"/>
      <c r="L175" s="16"/>
      <c r="M175" s="16"/>
      <c r="N175" s="27"/>
      <c r="O175" s="16" t="s">
        <v>45</v>
      </c>
    </row>
    <row r="176" spans="1:15" ht="14.25" customHeight="1">
      <c r="A176" s="63" t="s">
        <v>1706</v>
      </c>
      <c r="B176" s="16" t="s">
        <v>1707</v>
      </c>
      <c r="C176" s="16" t="s">
        <v>1706</v>
      </c>
      <c r="D176" s="15" t="s">
        <v>1701</v>
      </c>
      <c r="E176" s="16" t="s">
        <v>1702</v>
      </c>
      <c r="F176" s="16">
        <v>100</v>
      </c>
      <c r="G176" s="23">
        <v>0.50</v>
      </c>
      <c r="H176" s="15" t="s">
        <v>1704</v>
      </c>
      <c r="I176" s="16" t="s">
        <v>1705</v>
      </c>
      <c r="J176" s="16"/>
      <c r="K176" s="16"/>
      <c r="L176" s="16"/>
      <c r="M176" s="16"/>
      <c r="N176" s="16"/>
      <c r="O176" s="16" t="s">
        <v>45</v>
      </c>
    </row>
    <row r="177" spans="1:15" ht="14.25" customHeight="1">
      <c r="A177" s="63" t="s">
        <v>1708</v>
      </c>
      <c r="B177" s="16" t="s">
        <v>1709</v>
      </c>
      <c r="C177" s="16" t="s">
        <v>1708</v>
      </c>
      <c r="D177" s="15" t="s">
        <v>1701</v>
      </c>
      <c r="E177" s="16" t="s">
        <v>1702</v>
      </c>
      <c r="F177" s="16" t="s">
        <v>1710</v>
      </c>
      <c r="G177" s="23">
        <v>0.50</v>
      </c>
      <c r="H177" s="15" t="s">
        <v>1704</v>
      </c>
      <c r="I177" s="16" t="s">
        <v>1705</v>
      </c>
      <c r="J177" s="16"/>
      <c r="K177" s="16"/>
      <c r="L177" s="16"/>
      <c r="M177" s="16"/>
      <c r="N177" s="16"/>
      <c r="O177" s="16" t="s">
        <v>45</v>
      </c>
    </row>
    <row r="178" spans="1:15" ht="14.25" customHeight="1">
      <c r="A178" s="15" t="s">
        <v>1711</v>
      </c>
      <c r="B178" s="15" t="s">
        <v>1712</v>
      </c>
      <c r="C178" s="15" t="s">
        <v>280</v>
      </c>
      <c r="D178" s="15" t="s">
        <v>282</v>
      </c>
      <c r="E178" s="15" t="s">
        <v>280</v>
      </c>
      <c r="F178" s="15" t="s">
        <v>1713</v>
      </c>
      <c r="G178" s="23">
        <v>0.01</v>
      </c>
      <c r="H178" s="15" t="s">
        <v>864</v>
      </c>
      <c r="I178" s="15" t="s">
        <v>865</v>
      </c>
      <c r="J178" s="16"/>
      <c r="K178" s="16"/>
      <c r="L178" s="16"/>
      <c r="M178" s="16"/>
      <c r="N178" s="16"/>
      <c r="O178" s="16"/>
    </row>
    <row r="179" spans="1:15" ht="14.25" customHeight="1">
      <c r="A179" s="16" t="s">
        <v>1714</v>
      </c>
      <c r="B179" s="16" t="s">
        <v>1715</v>
      </c>
      <c r="C179" s="16" t="s">
        <v>280</v>
      </c>
      <c r="D179" s="15" t="s">
        <v>282</v>
      </c>
      <c r="E179" s="15" t="s">
        <v>280</v>
      </c>
      <c r="F179" s="15" t="s">
        <v>1716</v>
      </c>
      <c r="G179" s="23">
        <v>0.01</v>
      </c>
      <c r="H179" s="15" t="s">
        <v>1017</v>
      </c>
      <c r="I179" s="15" t="s">
        <v>1018</v>
      </c>
      <c r="J179" s="16"/>
      <c r="K179" s="16"/>
      <c r="L179" s="16"/>
      <c r="M179" s="16"/>
      <c r="N179" s="16"/>
      <c r="O179" s="16"/>
    </row>
    <row r="180" spans="1:15" ht="14.25" customHeight="1">
      <c r="A180" s="15" t="s">
        <v>1717</v>
      </c>
      <c r="B180" s="15" t="s">
        <v>1718</v>
      </c>
      <c r="C180" s="15" t="s">
        <v>280</v>
      </c>
      <c r="D180" s="15" t="s">
        <v>282</v>
      </c>
      <c r="E180" s="15" t="s">
        <v>280</v>
      </c>
      <c r="F180" s="15" t="s">
        <v>1719</v>
      </c>
      <c r="G180" s="23">
        <v>0.01</v>
      </c>
      <c r="H180" s="15" t="s">
        <v>290</v>
      </c>
      <c r="I180" s="15" t="s">
        <v>292</v>
      </c>
      <c r="J180" s="16"/>
      <c r="K180" s="16"/>
      <c r="L180" s="16"/>
      <c r="M180" s="16"/>
      <c r="N180" s="64"/>
      <c r="O180" s="16"/>
    </row>
    <row r="181" spans="1:15" ht="14.25" customHeight="1">
      <c r="A181" s="16" t="s">
        <v>1720</v>
      </c>
      <c r="B181" s="16" t="s">
        <v>1721</v>
      </c>
      <c r="C181" s="16" t="s">
        <v>280</v>
      </c>
      <c r="D181" s="16" t="s">
        <v>282</v>
      </c>
      <c r="E181" s="16" t="s">
        <v>280</v>
      </c>
      <c r="F181" s="16">
        <v>0.22</v>
      </c>
      <c r="G181" s="23">
        <v>0.01</v>
      </c>
      <c r="H181" s="16" t="s">
        <v>864</v>
      </c>
      <c r="I181" s="16" t="s">
        <v>865</v>
      </c>
      <c r="J181" s="16"/>
      <c r="K181" s="16"/>
      <c r="L181" s="16"/>
      <c r="M181" s="16"/>
      <c r="N181" s="16"/>
      <c r="O181" s="16"/>
    </row>
    <row r="182" spans="1:15" ht="14.25" customHeight="1">
      <c r="A182" s="16" t="s">
        <v>1722</v>
      </c>
      <c r="B182" s="16" t="s">
        <v>1723</v>
      </c>
      <c r="C182" s="16" t="s">
        <v>1722</v>
      </c>
      <c r="D182" s="16" t="s">
        <v>282</v>
      </c>
      <c r="E182" s="16" t="s">
        <v>280</v>
      </c>
      <c r="F182" s="16" t="s">
        <v>1724</v>
      </c>
      <c r="G182" s="23">
        <v>0.01</v>
      </c>
      <c r="H182" s="15" t="s">
        <v>290</v>
      </c>
      <c r="I182" s="15" t="s">
        <v>292</v>
      </c>
      <c r="J182" s="16"/>
      <c r="K182" s="16"/>
      <c r="L182" s="16"/>
      <c r="M182" s="16"/>
      <c r="N182" s="16"/>
      <c r="O182" s="16" t="s">
        <v>45</v>
      </c>
    </row>
    <row r="183" spans="1:15" ht="14.25" customHeight="1">
      <c r="A183" s="15" t="s">
        <v>1725</v>
      </c>
      <c r="B183" s="15" t="s">
        <v>928</v>
      </c>
      <c r="C183" s="15" t="s">
        <v>280</v>
      </c>
      <c r="D183" s="15" t="s">
        <v>282</v>
      </c>
      <c r="E183" s="15" t="s">
        <v>280</v>
      </c>
      <c r="F183" s="15" t="s">
        <v>929</v>
      </c>
      <c r="G183" s="23">
        <v>0.01</v>
      </c>
      <c r="H183" s="15" t="s">
        <v>1726</v>
      </c>
      <c r="I183" s="15" t="s">
        <v>1727</v>
      </c>
      <c r="J183" s="15"/>
      <c r="K183" s="16"/>
      <c r="L183" s="16"/>
      <c r="M183" s="16"/>
      <c r="N183" s="65"/>
      <c r="O183" s="16" t="s">
        <v>45</v>
      </c>
    </row>
    <row r="184" spans="1:15" ht="15" customHeight="1">
      <c r="A184" s="15" t="s">
        <v>1728</v>
      </c>
      <c r="B184" s="15" t="s">
        <v>1040</v>
      </c>
      <c r="C184" s="15" t="s">
        <v>280</v>
      </c>
      <c r="D184" s="15" t="s">
        <v>282</v>
      </c>
      <c r="E184" s="15" t="s">
        <v>280</v>
      </c>
      <c r="F184" s="15" t="s">
        <v>1042</v>
      </c>
      <c r="G184" s="23">
        <v>0.01</v>
      </c>
      <c r="H184" s="15" t="s">
        <v>1726</v>
      </c>
      <c r="I184" s="15" t="s">
        <v>1727</v>
      </c>
      <c r="J184" s="16"/>
      <c r="K184" s="16"/>
      <c r="L184" s="16"/>
      <c r="M184" s="16"/>
      <c r="N184" s="66"/>
      <c r="O184" s="16" t="s">
        <v>45</v>
      </c>
    </row>
    <row r="185" spans="1:15" ht="15" customHeight="1">
      <c r="A185" s="15" t="s">
        <v>1729</v>
      </c>
      <c r="B185" s="15" t="s">
        <v>852</v>
      </c>
      <c r="C185" s="15" t="s">
        <v>280</v>
      </c>
      <c r="D185" s="15" t="s">
        <v>282</v>
      </c>
      <c r="E185" s="15" t="s">
        <v>280</v>
      </c>
      <c r="F185" s="15" t="s">
        <v>854</v>
      </c>
      <c r="G185" s="23">
        <v>0.01</v>
      </c>
      <c r="H185" s="15" t="s">
        <v>1726</v>
      </c>
      <c r="I185" s="15" t="s">
        <v>1727</v>
      </c>
      <c r="J185" s="16"/>
      <c r="K185" s="16"/>
      <c r="L185" s="16"/>
      <c r="M185" s="16"/>
      <c r="N185" s="16"/>
      <c r="O185" s="16" t="s">
        <v>45</v>
      </c>
    </row>
    <row r="186" spans="1:15" ht="14.25" customHeight="1">
      <c r="A186" s="16" t="s">
        <v>1730</v>
      </c>
      <c r="B186" s="15" t="s">
        <v>638</v>
      </c>
      <c r="C186" s="15" t="s">
        <v>280</v>
      </c>
      <c r="D186" s="15" t="s">
        <v>282</v>
      </c>
      <c r="E186" s="15" t="s">
        <v>280</v>
      </c>
      <c r="F186" s="16">
        <v>68</v>
      </c>
      <c r="G186" s="23">
        <v>0.01</v>
      </c>
      <c r="H186" s="15" t="s">
        <v>864</v>
      </c>
      <c r="I186" s="15" t="s">
        <v>865</v>
      </c>
      <c r="J186" s="16"/>
      <c r="K186" s="16"/>
      <c r="L186" s="16"/>
      <c r="M186" s="16"/>
      <c r="N186" s="16"/>
      <c r="O186" s="16" t="s">
        <v>64</v>
      </c>
    </row>
    <row r="187" spans="1:15" ht="14.25" customHeight="1">
      <c r="A187" s="16" t="s">
        <v>1731</v>
      </c>
      <c r="B187" s="15" t="s">
        <v>570</v>
      </c>
      <c r="C187" s="15" t="s">
        <v>280</v>
      </c>
      <c r="D187" s="15" t="s">
        <v>282</v>
      </c>
      <c r="E187" s="15" t="s">
        <v>280</v>
      </c>
      <c r="F187" s="16">
        <v>33</v>
      </c>
      <c r="G187" s="23">
        <v>0.01</v>
      </c>
      <c r="H187" s="15" t="s">
        <v>864</v>
      </c>
      <c r="I187" s="15" t="s">
        <v>865</v>
      </c>
      <c r="J187" s="16"/>
      <c r="K187" s="16"/>
      <c r="L187" s="16"/>
      <c r="M187" s="16"/>
      <c r="N187" s="16"/>
      <c r="O187" s="16" t="s">
        <v>64</v>
      </c>
    </row>
    <row r="188" spans="1:15" ht="14.25" customHeight="1">
      <c r="A188" s="15" t="s">
        <v>1732</v>
      </c>
      <c r="B188" s="15" t="s">
        <v>607</v>
      </c>
      <c r="C188" s="15" t="s">
        <v>280</v>
      </c>
      <c r="D188" s="15" t="s">
        <v>282</v>
      </c>
      <c r="E188" s="15" t="s">
        <v>280</v>
      </c>
      <c r="F188" s="15" t="s">
        <v>609</v>
      </c>
      <c r="G188" s="23">
        <v>0.01</v>
      </c>
      <c r="H188" s="15" t="s">
        <v>1733</v>
      </c>
      <c r="I188" s="15" t="s">
        <v>1734</v>
      </c>
      <c r="J188" s="16"/>
      <c r="K188" s="16"/>
      <c r="L188" s="16"/>
      <c r="M188" s="16"/>
      <c r="N188" s="64"/>
      <c r="O188" s="16" t="s">
        <v>64</v>
      </c>
    </row>
    <row r="189" spans="1:15" ht="14.25" customHeight="1">
      <c r="A189" s="16" t="s">
        <v>1735</v>
      </c>
      <c r="B189" s="15" t="s">
        <v>1736</v>
      </c>
      <c r="C189" s="15" t="s">
        <v>280</v>
      </c>
      <c r="D189" s="15" t="s">
        <v>282</v>
      </c>
      <c r="E189" s="15" t="s">
        <v>280</v>
      </c>
      <c r="F189" s="15" t="s">
        <v>1703</v>
      </c>
      <c r="G189" s="23">
        <v>0.01</v>
      </c>
      <c r="H189" s="15" t="s">
        <v>1733</v>
      </c>
      <c r="I189" s="15" t="s">
        <v>1734</v>
      </c>
      <c r="J189" s="16"/>
      <c r="K189" s="16"/>
      <c r="L189" s="16"/>
      <c r="M189" s="16"/>
      <c r="N189" s="64"/>
      <c r="O189" s="16" t="s">
        <v>64</v>
      </c>
    </row>
    <row r="190" spans="1:15" ht="14.25" customHeight="1">
      <c r="A190" s="15" t="s">
        <v>1737</v>
      </c>
      <c r="B190" s="15" t="s">
        <v>1738</v>
      </c>
      <c r="C190" s="15" t="s">
        <v>280</v>
      </c>
      <c r="D190" s="15" t="s">
        <v>282</v>
      </c>
      <c r="E190" s="15" t="s">
        <v>280</v>
      </c>
      <c r="F190" s="15" t="s">
        <v>1739</v>
      </c>
      <c r="G190" s="67">
        <v>0.05</v>
      </c>
      <c r="H190" s="15" t="s">
        <v>290</v>
      </c>
      <c r="I190" s="15" t="s">
        <v>292</v>
      </c>
      <c r="J190" s="16"/>
      <c r="K190" s="16"/>
      <c r="L190" s="16"/>
      <c r="M190" s="16"/>
      <c r="N190" s="64"/>
      <c r="O190" s="16" t="s">
        <v>64</v>
      </c>
    </row>
    <row r="191" spans="1:15" ht="14.25" customHeight="1">
      <c r="A191" s="68" t="s">
        <v>1740</v>
      </c>
      <c r="B191" s="68" t="s">
        <v>695</v>
      </c>
      <c r="C191" s="68" t="s">
        <v>280</v>
      </c>
      <c r="D191" s="68" t="s">
        <v>282</v>
      </c>
      <c r="E191" s="68" t="s">
        <v>280</v>
      </c>
      <c r="F191" s="68" t="s">
        <v>702</v>
      </c>
      <c r="G191" s="69">
        <v>0.01</v>
      </c>
      <c r="H191" s="68" t="s">
        <v>708</v>
      </c>
      <c r="I191" s="3" t="s">
        <v>709</v>
      </c>
      <c r="J191" s="3"/>
      <c r="K191" s="3"/>
      <c r="L191" s="3"/>
      <c r="M191" s="3"/>
      <c r="N191" s="70"/>
      <c r="O191" s="3" t="s">
        <v>64</v>
      </c>
    </row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C8B2F686-1E60-40D3-BB0B-E226B9AB3D2B}" filter="1" showAutoFilter="1" topLeftCell="A1">
      <pageMargins left="0.75" right="0.75" top="1" bottom="1" header="0.5" footer="0.5"/>
      <autoFilter ref="A1:O190"/>
    </customSheetView>
  </customSheetViews>
  <pageMargins left="0.7" right="0.7" top="0.75" bottom="0.75" header="0" footer="0"/>
  <pageSetup orientation="portrait" paperSize="9"/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600-000000000000}">
  <dimension ref="A1:L6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14.4285714285714" customWidth="1"/>
    <col min="2" max="2" width="40.7142857142857" customWidth="1"/>
    <col min="3" max="3" width="12.7142857142857" customWidth="1"/>
    <col min="4" max="4" width="28.5714285714286" customWidth="1"/>
    <col min="5" max="5" width="14.7142857142857" customWidth="1"/>
    <col min="6" max="6" width="20.7142857142857" customWidth="1"/>
    <col min="7" max="7" width="14.2857142857143" customWidth="1"/>
    <col min="8" max="8" width="13.1428571428571" customWidth="1"/>
    <col min="9" max="10" width="13.2857142857143" customWidth="1"/>
    <col min="11" max="11" width="12.2857142857143" customWidth="1"/>
    <col min="12" max="26" width="8.71428571428571" customWidth="1"/>
  </cols>
  <sheetData>
    <row r="1" spans="1:12" ht="14.25" customHeight="1">
      <c r="A1" s="29" t="s">
        <v>0</v>
      </c>
      <c r="B1" s="29" t="s">
        <v>1</v>
      </c>
      <c r="C1" s="29" t="s">
        <v>2</v>
      </c>
      <c r="D1" s="29" t="s">
        <v>3</v>
      </c>
      <c r="E1" s="29" t="s">
        <v>4</v>
      </c>
      <c r="F1" s="29" t="s">
        <v>5</v>
      </c>
      <c r="G1" s="29" t="s">
        <v>6</v>
      </c>
      <c r="H1" s="29" t="s">
        <v>12</v>
      </c>
      <c r="I1" s="29" t="s">
        <v>411</v>
      </c>
      <c r="J1" s="29" t="s">
        <v>15</v>
      </c>
      <c r="K1" s="29" t="s">
        <v>11</v>
      </c>
      <c r="L1" s="1" t="s">
        <v>13</v>
      </c>
    </row>
    <row r="2" spans="1:12" ht="14.25" customHeight="1">
      <c r="A2" s="31" t="s">
        <v>413</v>
      </c>
      <c r="B2" s="33" t="str">
        <f>CONCATENATE("Выпрямительный диод на ",H2," В, ном. ток ",I2," А")</f>
        <v>Выпрямительный диод на 1000 В, ном. ток 2 А А</v>
      </c>
      <c r="C2" s="33" t="str">
        <f>A2</f>
        <v>S2M</v>
      </c>
      <c r="D2" s="33" t="s">
        <v>418</v>
      </c>
      <c r="E2" s="33" t="s">
        <v>419</v>
      </c>
      <c r="F2" s="33" t="str">
        <f>CONCATENATE("Footprints\",G2,".PcbLib")</f>
        <v>Footprints\SMB.PcbLib</v>
      </c>
      <c r="G2" s="33" t="s">
        <v>54</v>
      </c>
      <c r="H2" s="33">
        <v>1000</v>
      </c>
      <c r="I2" s="34" t="s">
        <v>151</v>
      </c>
      <c r="J2" s="4"/>
      <c r="L2" s="6" t="s">
        <v>45</v>
      </c>
    </row>
    <row r="3" spans="1:10" ht="14.25" customHeight="1">
      <c r="A3" s="4" t="s">
        <v>426</v>
      </c>
      <c r="B3" s="4" t="s">
        <v>427</v>
      </c>
      <c r="C3" s="4" t="s">
        <v>426</v>
      </c>
      <c r="D3" s="4" t="s">
        <v>418</v>
      </c>
      <c r="E3" s="4" t="s">
        <v>419</v>
      </c>
      <c r="F3" s="4" t="s">
        <v>428</v>
      </c>
      <c r="G3" s="4" t="s">
        <v>93</v>
      </c>
      <c r="H3" s="4" t="s">
        <v>433</v>
      </c>
      <c r="I3" s="4" t="s">
        <v>434</v>
      </c>
      <c r="J3" s="4"/>
    </row>
    <row r="4" spans="1:12" ht="14.25" customHeight="1">
      <c r="A4" s="6" t="s">
        <v>435</v>
      </c>
      <c r="B4" s="6" t="s">
        <v>437</v>
      </c>
      <c r="C4" s="6" t="s">
        <v>435</v>
      </c>
      <c r="D4" s="4" t="s">
        <v>418</v>
      </c>
      <c r="E4" s="4" t="s">
        <v>419</v>
      </c>
      <c r="F4" s="4" t="s">
        <v>439</v>
      </c>
      <c r="G4" s="6" t="s">
        <v>440</v>
      </c>
      <c r="H4" s="6">
        <v>400</v>
      </c>
      <c r="I4" s="4" t="s">
        <v>434</v>
      </c>
      <c r="K4" s="14" t="s">
        <v>441</v>
      </c>
      <c r="L4" s="6" t="s">
        <v>45</v>
      </c>
    </row>
    <row r="5" spans="1:12" ht="14.25" customHeight="1">
      <c r="A5" s="6" t="s">
        <v>449</v>
      </c>
      <c r="B5" s="33" t="str">
        <f>CONCATENATE("Выпрямительный диод на ",H5," В, ном. ток ",I5," А")</f>
        <v>Выпрямительный диод на 1000 В, ном. ток 1 А А</v>
      </c>
      <c r="C5" s="33" t="str">
        <f t="shared" si="0" ref="C5:C6">A5</f>
        <v>SMA4007</v>
      </c>
      <c r="D5" s="33" t="s">
        <v>418</v>
      </c>
      <c r="E5" s="33" t="s">
        <v>419</v>
      </c>
      <c r="F5" s="4" t="s">
        <v>428</v>
      </c>
      <c r="G5" s="4" t="s">
        <v>93</v>
      </c>
      <c r="H5" s="33">
        <v>1000</v>
      </c>
      <c r="I5" s="4" t="s">
        <v>434</v>
      </c>
      <c r="K5" s="14" t="s">
        <v>454</v>
      </c>
      <c r="L5" s="6" t="s">
        <v>64</v>
      </c>
    </row>
    <row r="6" spans="1:12" ht="14.25" customHeight="1">
      <c r="A6" s="6" t="s">
        <v>457</v>
      </c>
      <c r="B6" s="6" t="s">
        <v>459</v>
      </c>
      <c r="C6" s="33" t="str">
        <f t="shared" si="0"/>
        <v>BAV99</v>
      </c>
      <c r="D6" s="33" t="s">
        <v>461</v>
      </c>
      <c r="E6" s="33" t="s">
        <v>462</v>
      </c>
      <c r="F6" s="6" t="str">
        <f>CONCATENATE("Footprints\",G6,".PcbLib")</f>
        <v>Footprints\SOT23-3.PcbLib</v>
      </c>
      <c r="G6" s="6" t="s">
        <v>56</v>
      </c>
      <c r="H6" s="6">
        <v>70</v>
      </c>
      <c r="I6" s="6" t="s">
        <v>466</v>
      </c>
      <c r="K6" s="14" t="s">
        <v>467</v>
      </c>
      <c r="L6" s="6" t="s">
        <v>64</v>
      </c>
    </row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50BC66D5-293C-48BC-8D4C-D4E701D8C175}" filter="1" showAutoFilter="1" topLeftCell="A1">
      <pageMargins left="0.75" right="0.75" top="1" bottom="1" header="0.5" footer="0.5"/>
      <autoFilter ref="A1:L6"/>
    </customSheetView>
  </customSheetViews>
  <hyperlinks>
    <hyperlink ref="K4" r:id="rId1" display="https://static.chipdip.ru/lib/868/DOC011868843.pdf"/>
    <hyperlink ref="K5" r:id="rId2" display="https://static.chipdip.ru/lib/867/DOC050867185.pdf"/>
    <hyperlink ref="K6" r:id="rId3" display="https://static.chipdip.ru/lib/931/DOC030931559.pdf"/>
  </hyperlinks>
  <pageMargins left="0.7" right="0.7" top="0.75" bottom="0.75" header="0" footer="0"/>
  <pageSetup orientation="landscape" paperSize="1"/>
  <tableParts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700-000000000000}">
  <dimension ref="A1:V4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15.4285714285714" customWidth="1"/>
    <col min="2" max="2" width="23.2857142857143" customWidth="1"/>
    <col min="3" max="3" width="15.4285714285714" customWidth="1"/>
    <col min="4" max="4" width="32" customWidth="1"/>
    <col min="5" max="5" width="15.4285714285714" customWidth="1"/>
    <col min="6" max="6" width="8.71428571428571" customWidth="1"/>
    <col min="7" max="7" width="33.5714285714286" customWidth="1"/>
    <col min="8" max="8" width="17.2857142857143" customWidth="1"/>
    <col min="9" max="9" width="33.5714285714286" customWidth="1"/>
    <col min="10" max="10" width="17.2857142857143" customWidth="1"/>
    <col min="11" max="11" width="33.5714285714286" customWidth="1"/>
    <col min="12" max="12" width="17.2857142857143" customWidth="1"/>
    <col min="13" max="13" width="32.7142857142857" customWidth="1"/>
    <col min="14" max="14" width="17.2857142857143" customWidth="1"/>
    <col min="15" max="15" width="32.4285714285714" customWidth="1"/>
    <col min="16" max="16" width="17.2857142857143" customWidth="1"/>
    <col min="17" max="17" width="42.2857142857143" customWidth="1"/>
    <col min="18" max="18" width="17.2857142857143" customWidth="1"/>
    <col min="19" max="19" width="42.4285714285714" customWidth="1"/>
    <col min="20" max="20" width="17.2857142857143" customWidth="1"/>
    <col min="21" max="21" width="14.2857142857143" customWidth="1"/>
    <col min="22" max="26" width="8.71428571428571" customWidth="1"/>
  </cols>
  <sheetData>
    <row r="1" spans="1:22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16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487</v>
      </c>
      <c r="N1" s="1" t="s">
        <v>489</v>
      </c>
      <c r="O1" s="1" t="s">
        <v>490</v>
      </c>
      <c r="P1" s="1" t="s">
        <v>491</v>
      </c>
      <c r="Q1" s="1" t="s">
        <v>492</v>
      </c>
      <c r="R1" s="1" t="s">
        <v>493</v>
      </c>
      <c r="S1" s="1" t="s">
        <v>494</v>
      </c>
      <c r="T1" s="1" t="s">
        <v>495</v>
      </c>
      <c r="U1" s="1" t="s">
        <v>11</v>
      </c>
      <c r="V1" s="1" t="s">
        <v>13</v>
      </c>
    </row>
    <row r="2" spans="1:20" ht="14.25" customHeight="1">
      <c r="A2" s="15" t="s">
        <v>496</v>
      </c>
      <c r="B2" s="15" t="s">
        <v>497</v>
      </c>
      <c r="C2" s="15" t="s">
        <v>496</v>
      </c>
      <c r="D2" s="15" t="s">
        <v>500</v>
      </c>
      <c r="E2" s="15" t="s">
        <v>496</v>
      </c>
      <c r="F2" s="15" t="s">
        <v>501</v>
      </c>
      <c r="G2" s="15" t="s">
        <v>502</v>
      </c>
      <c r="H2" s="15" t="s">
        <v>503</v>
      </c>
      <c r="I2" s="15" t="s">
        <v>504</v>
      </c>
      <c r="J2" s="15" t="s">
        <v>505</v>
      </c>
      <c r="K2" s="39" t="s">
        <v>506</v>
      </c>
      <c r="L2" s="39" t="s">
        <v>507</v>
      </c>
      <c r="M2" s="4"/>
      <c r="N2" s="4"/>
      <c r="O2" s="4"/>
      <c r="P2" s="4"/>
      <c r="Q2" s="4"/>
      <c r="R2" s="4"/>
      <c r="S2" s="4"/>
      <c r="T2" s="4"/>
    </row>
    <row r="3" spans="1:20" ht="14.25" customHeight="1">
      <c r="A3" s="15" t="s">
        <v>511</v>
      </c>
      <c r="B3" s="15" t="s">
        <v>512</v>
      </c>
      <c r="C3" s="15" t="s">
        <v>511</v>
      </c>
      <c r="D3" s="15" t="s">
        <v>513</v>
      </c>
      <c r="E3" s="15" t="s">
        <v>511</v>
      </c>
      <c r="F3" s="15" t="s">
        <v>514</v>
      </c>
      <c r="G3" s="15" t="s">
        <v>515</v>
      </c>
      <c r="H3" s="15" t="s">
        <v>516</v>
      </c>
      <c r="I3" s="15" t="s">
        <v>517</v>
      </c>
      <c r="J3" s="15" t="s">
        <v>518</v>
      </c>
      <c r="K3" s="15" t="s">
        <v>520</v>
      </c>
      <c r="L3" s="15" t="s">
        <v>522</v>
      </c>
      <c r="M3" s="15" t="s">
        <v>523</v>
      </c>
      <c r="N3" s="15" t="s">
        <v>524</v>
      </c>
      <c r="O3" s="15" t="s">
        <v>526</v>
      </c>
      <c r="P3" s="15" t="s">
        <v>527</v>
      </c>
      <c r="Q3" s="15" t="s">
        <v>528</v>
      </c>
      <c r="R3" s="4" t="s">
        <v>529</v>
      </c>
      <c r="S3" s="15" t="s">
        <v>530</v>
      </c>
      <c r="T3" s="4" t="s">
        <v>531</v>
      </c>
    </row>
    <row r="4" spans="1:10" ht="14.25" customHeight="1">
      <c r="A4" s="3"/>
      <c r="B4" s="3"/>
      <c r="C4" s="3"/>
      <c r="D4" s="3"/>
      <c r="E4" s="3"/>
      <c r="F4" s="3"/>
      <c r="G4" s="3"/>
      <c r="H4" s="3"/>
      <c r="I4" s="3"/>
      <c r="J4" s="3"/>
    </row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FF43CC28-F001-479A-BD56-70344E0064A8}" filter="1" showAutoFilter="1" topLeftCell="A1">
      <pageMargins left="0.75" right="0.75" top="1" bottom="1" header="0.5" footer="0.5"/>
      <autoFilter ref="A1:V3"/>
    </customSheetView>
  </customSheetViews>
  <pageMargins left="0.7" right="0.7" top="0.75" bottom="0.75" header="0" footer="0"/>
  <pageSetup orientation="portrait" paperSize="9"/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800-000000000000}">
  <dimension ref="A1:N1000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32" customWidth="1"/>
    <col min="2" max="2" width="53.7142857142857" customWidth="1"/>
    <col min="3" max="3" width="11.7142857142857" customWidth="1"/>
    <col min="4" max="4" width="29.5714285714286" customWidth="1"/>
    <col min="5" max="5" width="25.2857142857143" customWidth="1"/>
    <col min="6" max="6" width="14.4285714285714" customWidth="1"/>
    <col min="7" max="7" width="9.71428571428571" customWidth="1"/>
    <col min="8" max="8" width="12.5714285714286" customWidth="1"/>
    <col min="9" max="9" width="14.4285714285714" customWidth="1"/>
    <col min="10" max="10" width="12" customWidth="1"/>
    <col min="11" max="11" width="25.7142857142857" customWidth="1"/>
    <col min="12" max="12" width="15.5714285714286" customWidth="1"/>
    <col min="13" max="13" width="14.7142857142857" customWidth="1"/>
    <col min="14" max="14" width="12.2857142857143" customWidth="1"/>
    <col min="15" max="26" width="8.71428571428571" customWidth="1"/>
  </cols>
  <sheetData>
    <row r="1" spans="1:14" ht="14.25" customHeight="1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16</v>
      </c>
      <c r="G1" s="42" t="s">
        <v>273</v>
      </c>
      <c r="H1" s="43" t="s">
        <v>12</v>
      </c>
      <c r="I1" s="43" t="s">
        <v>538</v>
      </c>
      <c r="J1" s="41" t="s">
        <v>5</v>
      </c>
      <c r="K1" s="41" t="s">
        <v>6</v>
      </c>
      <c r="L1" s="43" t="s">
        <v>539</v>
      </c>
      <c r="M1" s="43" t="s">
        <v>11</v>
      </c>
      <c r="N1" s="43" t="s">
        <v>13</v>
      </c>
    </row>
    <row r="2" spans="1:14" ht="14.25" customHeight="1">
      <c r="A2" s="44" t="s">
        <v>542</v>
      </c>
      <c r="B2" s="20" t="str">
        <f t="shared" si="0" ref="B2:B57">CONCATENATE("Конденсатор ",K2," ёмкостью ",F2," ",G2,", ",H2," В, ",I2)</f>
        <v>Конденсатор 0603C ёмкостью 0,01 н 10%, 50 В, X7R</v>
      </c>
      <c r="C2" s="21" t="s">
        <v>496</v>
      </c>
      <c r="D2" s="21" t="s">
        <v>500</v>
      </c>
      <c r="E2" s="21" t="s">
        <v>496</v>
      </c>
      <c r="F2" s="21" t="s">
        <v>543</v>
      </c>
      <c r="G2" s="21" t="s">
        <v>544</v>
      </c>
      <c r="H2" s="21">
        <v>50</v>
      </c>
      <c r="I2" s="21" t="s">
        <v>547</v>
      </c>
      <c r="J2" s="21" t="s">
        <v>502</v>
      </c>
      <c r="K2" s="21" t="s">
        <v>503</v>
      </c>
      <c r="L2" s="21" t="s">
        <v>548</v>
      </c>
      <c r="M2" s="45"/>
      <c r="N2" s="4" t="s">
        <v>45</v>
      </c>
    </row>
    <row r="3" spans="1:14" ht="14.25" customHeight="1">
      <c r="A3" s="4" t="s">
        <v>550</v>
      </c>
      <c r="B3" s="20" t="str">
        <f t="shared" si="0"/>
        <v>Конденсатор 0603C ёмкостью 100 п 10%, 50 В, X7R</v>
      </c>
      <c r="C3" s="21" t="s">
        <v>496</v>
      </c>
      <c r="D3" s="21" t="s">
        <v>500</v>
      </c>
      <c r="E3" s="21" t="s">
        <v>496</v>
      </c>
      <c r="F3" s="21" t="s">
        <v>551</v>
      </c>
      <c r="G3" s="21" t="s">
        <v>544</v>
      </c>
      <c r="H3" s="21">
        <v>50</v>
      </c>
      <c r="I3" s="21" t="s">
        <v>547</v>
      </c>
      <c r="J3" s="21" t="s">
        <v>502</v>
      </c>
      <c r="K3" s="21" t="s">
        <v>503</v>
      </c>
      <c r="L3" s="21" t="s">
        <v>554</v>
      </c>
      <c r="M3" s="4"/>
      <c r="N3" s="4"/>
    </row>
    <row r="4" spans="1:14" ht="14.25" customHeight="1">
      <c r="A4" s="31" t="s">
        <v>555</v>
      </c>
      <c r="B4" s="20" t="str">
        <f t="shared" si="0"/>
        <v>Конденсатор 0603C ёмкостью 0,15 н 10%, 50 В, X7R</v>
      </c>
      <c r="C4" s="33" t="s">
        <v>496</v>
      </c>
      <c r="D4" s="33" t="s">
        <v>500</v>
      </c>
      <c r="E4" s="33" t="s">
        <v>496</v>
      </c>
      <c r="F4" s="33" t="s">
        <v>557</v>
      </c>
      <c r="G4" s="21" t="s">
        <v>544</v>
      </c>
      <c r="H4" s="33">
        <v>50</v>
      </c>
      <c r="I4" s="33" t="s">
        <v>547</v>
      </c>
      <c r="J4" s="33" t="s">
        <v>502</v>
      </c>
      <c r="K4" s="33" t="s">
        <v>503</v>
      </c>
      <c r="L4" s="33" t="s">
        <v>558</v>
      </c>
      <c r="M4" s="34"/>
      <c r="N4" s="4"/>
    </row>
    <row r="5" spans="1:14" ht="14.25" customHeight="1">
      <c r="A5" s="46" t="s">
        <v>561</v>
      </c>
      <c r="B5" s="47" t="str">
        <f t="shared" si="0"/>
        <v>Конденсатор 0603C ёмкостью 0,75 н 10%, 50 В, X7R</v>
      </c>
      <c r="C5" s="48" t="s">
        <v>496</v>
      </c>
      <c r="D5" s="48" t="s">
        <v>500</v>
      </c>
      <c r="E5" s="48" t="s">
        <v>496</v>
      </c>
      <c r="F5" s="48" t="s">
        <v>564</v>
      </c>
      <c r="G5" s="48" t="s">
        <v>544</v>
      </c>
      <c r="H5" s="48">
        <v>50</v>
      </c>
      <c r="I5" s="48" t="s">
        <v>547</v>
      </c>
      <c r="J5" s="48" t="s">
        <v>502</v>
      </c>
      <c r="K5" s="48" t="s">
        <v>503</v>
      </c>
      <c r="L5" s="48" t="s">
        <v>567</v>
      </c>
      <c r="M5" s="49"/>
      <c r="N5" s="50"/>
    </row>
    <row r="6" spans="1:14" ht="14.25" customHeight="1">
      <c r="A6" s="4" t="s">
        <v>568</v>
      </c>
      <c r="B6" s="20" t="str">
        <f t="shared" si="0"/>
        <v>Конденсатор 0603C ёмкостью 1 н 10%, 50 В, X7R</v>
      </c>
      <c r="C6" s="4" t="s">
        <v>496</v>
      </c>
      <c r="D6" s="4" t="s">
        <v>500</v>
      </c>
      <c r="E6" s="4" t="s">
        <v>496</v>
      </c>
      <c r="F6" s="4" t="s">
        <v>573</v>
      </c>
      <c r="G6" s="21" t="s">
        <v>544</v>
      </c>
      <c r="H6" s="4">
        <v>50</v>
      </c>
      <c r="I6" s="4" t="s">
        <v>547</v>
      </c>
      <c r="J6" s="4" t="s">
        <v>502</v>
      </c>
      <c r="K6" s="4" t="s">
        <v>503</v>
      </c>
      <c r="L6" s="4">
        <v>1</v>
      </c>
      <c r="M6" s="4"/>
      <c r="N6" s="4"/>
    </row>
    <row r="7" spans="1:14" ht="14.25" customHeight="1">
      <c r="A7" s="4" t="s">
        <v>575</v>
      </c>
      <c r="B7" s="20" t="str">
        <f t="shared" si="0"/>
        <v>Конденсатор 0603C ёмкостью 1,2 н 10%, 50 В, X7R</v>
      </c>
      <c r="C7" s="4" t="s">
        <v>496</v>
      </c>
      <c r="D7" s="4" t="s">
        <v>500</v>
      </c>
      <c r="E7" s="4" t="s">
        <v>496</v>
      </c>
      <c r="F7" s="4" t="s">
        <v>580</v>
      </c>
      <c r="G7" s="21" t="s">
        <v>544</v>
      </c>
      <c r="H7" s="4">
        <v>50</v>
      </c>
      <c r="I7" s="4" t="s">
        <v>547</v>
      </c>
      <c r="J7" s="4" t="s">
        <v>502</v>
      </c>
      <c r="K7" s="4" t="s">
        <v>503</v>
      </c>
      <c r="L7" s="4">
        <v>1.20</v>
      </c>
      <c r="M7" s="4"/>
      <c r="N7" s="4"/>
    </row>
    <row r="8" spans="1:14" ht="14.25" customHeight="1">
      <c r="A8" s="4" t="s">
        <v>585</v>
      </c>
      <c r="B8" s="20" t="str">
        <f t="shared" si="0"/>
        <v>Конденсатор 0603C ёмкостью 1,5 н 10%, 50 В, X7R</v>
      </c>
      <c r="C8" s="4" t="s">
        <v>496</v>
      </c>
      <c r="D8" s="4" t="s">
        <v>500</v>
      </c>
      <c r="E8" s="4" t="s">
        <v>496</v>
      </c>
      <c r="F8" s="4" t="s">
        <v>589</v>
      </c>
      <c r="G8" s="21" t="s">
        <v>544</v>
      </c>
      <c r="H8" s="4">
        <v>50</v>
      </c>
      <c r="I8" s="4" t="s">
        <v>547</v>
      </c>
      <c r="J8" s="4" t="s">
        <v>502</v>
      </c>
      <c r="K8" s="4" t="s">
        <v>503</v>
      </c>
      <c r="L8" s="4">
        <v>1.50</v>
      </c>
      <c r="M8" s="4"/>
      <c r="N8" s="4"/>
    </row>
    <row r="9" spans="1:14" ht="14.25" customHeight="1">
      <c r="A9" s="4" t="s">
        <v>593</v>
      </c>
      <c r="B9" s="20" t="str">
        <f t="shared" si="0"/>
        <v>Конденсатор 0603C ёмкостью 1,8 н 10%, 50 В, X7R</v>
      </c>
      <c r="C9" s="4" t="s">
        <v>496</v>
      </c>
      <c r="D9" s="4" t="s">
        <v>500</v>
      </c>
      <c r="E9" s="4" t="s">
        <v>496</v>
      </c>
      <c r="F9" s="4" t="s">
        <v>594</v>
      </c>
      <c r="G9" s="21" t="s">
        <v>544</v>
      </c>
      <c r="H9" s="4">
        <v>50</v>
      </c>
      <c r="I9" s="4" t="s">
        <v>547</v>
      </c>
      <c r="J9" s="4" t="s">
        <v>502</v>
      </c>
      <c r="K9" s="4" t="s">
        <v>503</v>
      </c>
      <c r="L9" s="4">
        <v>1.80</v>
      </c>
      <c r="M9" s="4"/>
      <c r="N9" s="4"/>
    </row>
    <row r="10" spans="1:14" ht="14.25" customHeight="1">
      <c r="A10" s="4" t="s">
        <v>599</v>
      </c>
      <c r="B10" s="20" t="str">
        <f t="shared" si="0"/>
        <v>Конденсатор 0603C ёмкостью 2,2 н 10%, 50 В, X7R</v>
      </c>
      <c r="C10" s="4" t="s">
        <v>496</v>
      </c>
      <c r="D10" s="4" t="s">
        <v>500</v>
      </c>
      <c r="E10" s="4" t="s">
        <v>496</v>
      </c>
      <c r="F10" s="4" t="s">
        <v>602</v>
      </c>
      <c r="G10" s="21" t="s">
        <v>544</v>
      </c>
      <c r="H10" s="4">
        <v>50</v>
      </c>
      <c r="I10" s="4" t="s">
        <v>547</v>
      </c>
      <c r="J10" s="4" t="s">
        <v>502</v>
      </c>
      <c r="K10" s="4" t="s">
        <v>503</v>
      </c>
      <c r="L10" s="4">
        <v>2.20</v>
      </c>
      <c r="M10" s="4"/>
      <c r="N10" s="4"/>
    </row>
    <row r="11" spans="1:14" ht="14.25" customHeight="1">
      <c r="A11" s="4" t="s">
        <v>606</v>
      </c>
      <c r="B11" s="20" t="str">
        <f t="shared" si="0"/>
        <v>Конденсатор 0603C ёмкостью 2,7 н 10%, 50 В, X7R</v>
      </c>
      <c r="C11" s="4" t="s">
        <v>496</v>
      </c>
      <c r="D11" s="4" t="s">
        <v>500</v>
      </c>
      <c r="E11" s="4" t="s">
        <v>496</v>
      </c>
      <c r="F11" s="4" t="s">
        <v>610</v>
      </c>
      <c r="G11" s="21" t="s">
        <v>544</v>
      </c>
      <c r="H11" s="4">
        <v>50</v>
      </c>
      <c r="I11" s="4" t="s">
        <v>547</v>
      </c>
      <c r="J11" s="4" t="s">
        <v>502</v>
      </c>
      <c r="K11" s="4" t="s">
        <v>503</v>
      </c>
      <c r="L11" s="4">
        <v>2.70</v>
      </c>
      <c r="M11" s="4"/>
      <c r="N11" s="4"/>
    </row>
    <row r="12" spans="1:14" ht="14.25" customHeight="1">
      <c r="A12" s="4" t="s">
        <v>616</v>
      </c>
      <c r="B12" s="20" t="str">
        <f t="shared" si="0"/>
        <v>Конденсатор 0603C ёмкостью 3,3 н 10%, 50 В, X7R</v>
      </c>
      <c r="C12" s="4" t="s">
        <v>496</v>
      </c>
      <c r="D12" s="4" t="s">
        <v>500</v>
      </c>
      <c r="E12" s="4" t="s">
        <v>496</v>
      </c>
      <c r="F12" s="4" t="s">
        <v>619</v>
      </c>
      <c r="G12" s="21" t="s">
        <v>544</v>
      </c>
      <c r="H12" s="4">
        <v>50</v>
      </c>
      <c r="I12" s="4" t="s">
        <v>547</v>
      </c>
      <c r="J12" s="4" t="s">
        <v>502</v>
      </c>
      <c r="K12" s="4" t="s">
        <v>503</v>
      </c>
      <c r="L12" s="4">
        <v>3.30</v>
      </c>
      <c r="M12" s="4"/>
      <c r="N12" s="4"/>
    </row>
    <row r="13" spans="1:14" ht="14.25" customHeight="1">
      <c r="A13" s="4" t="s">
        <v>623</v>
      </c>
      <c r="B13" s="20" t="str">
        <f t="shared" si="0"/>
        <v>Конденсатор 0603C ёмкостью 3,9 н 10%, 50 В, X7R</v>
      </c>
      <c r="C13" s="4" t="s">
        <v>496</v>
      </c>
      <c r="D13" s="4" t="s">
        <v>500</v>
      </c>
      <c r="E13" s="4" t="s">
        <v>496</v>
      </c>
      <c r="F13" s="4" t="s">
        <v>626</v>
      </c>
      <c r="G13" s="21" t="s">
        <v>544</v>
      </c>
      <c r="H13" s="4">
        <v>50</v>
      </c>
      <c r="I13" s="4" t="s">
        <v>547</v>
      </c>
      <c r="J13" s="4" t="s">
        <v>502</v>
      </c>
      <c r="K13" s="4" t="s">
        <v>503</v>
      </c>
      <c r="L13" s="4">
        <v>3.90</v>
      </c>
      <c r="M13" s="4"/>
      <c r="N13" s="4"/>
    </row>
    <row r="14" spans="1:14" ht="14.25" customHeight="1">
      <c r="A14" s="4" t="s">
        <v>629</v>
      </c>
      <c r="B14" s="20" t="str">
        <f t="shared" si="0"/>
        <v>Конденсатор 0603C ёмкостью 4,7 н 10%, 50 В, X7R</v>
      </c>
      <c r="C14" s="4" t="s">
        <v>496</v>
      </c>
      <c r="D14" s="4" t="s">
        <v>500</v>
      </c>
      <c r="E14" s="4" t="s">
        <v>496</v>
      </c>
      <c r="F14" s="4" t="s">
        <v>633</v>
      </c>
      <c r="G14" s="21" t="s">
        <v>544</v>
      </c>
      <c r="H14" s="4">
        <v>50</v>
      </c>
      <c r="I14" s="4" t="s">
        <v>547</v>
      </c>
      <c r="J14" s="4" t="s">
        <v>502</v>
      </c>
      <c r="K14" s="4" t="s">
        <v>503</v>
      </c>
      <c r="L14" s="4">
        <v>4.70</v>
      </c>
      <c r="M14" s="4"/>
      <c r="N14" s="4"/>
    </row>
    <row r="15" spans="1:14" ht="14.25" customHeight="1">
      <c r="A15" s="4" t="s">
        <v>635</v>
      </c>
      <c r="B15" s="20" t="str">
        <f t="shared" si="0"/>
        <v>Конденсатор 0603C ёмкостью 5,6 н 10%, 50 В, X7R</v>
      </c>
      <c r="C15" s="4" t="s">
        <v>496</v>
      </c>
      <c r="D15" s="4" t="s">
        <v>500</v>
      </c>
      <c r="E15" s="4" t="s">
        <v>496</v>
      </c>
      <c r="F15" s="4" t="s">
        <v>639</v>
      </c>
      <c r="G15" s="21" t="s">
        <v>544</v>
      </c>
      <c r="H15" s="4">
        <v>50</v>
      </c>
      <c r="I15" s="4" t="s">
        <v>547</v>
      </c>
      <c r="J15" s="4" t="s">
        <v>502</v>
      </c>
      <c r="K15" s="4" t="s">
        <v>503</v>
      </c>
      <c r="L15" s="4">
        <v>5.60</v>
      </c>
      <c r="M15" s="4"/>
      <c r="N15" s="4"/>
    </row>
    <row r="16" spans="1:14" ht="14.25" customHeight="1">
      <c r="A16" s="4" t="s">
        <v>643</v>
      </c>
      <c r="B16" s="20" t="str">
        <f t="shared" si="0"/>
        <v>Конденсатор 0603C ёмкостью 6,8 н 10%, 50 В, X7R</v>
      </c>
      <c r="C16" s="4" t="s">
        <v>496</v>
      </c>
      <c r="D16" s="4" t="s">
        <v>500</v>
      </c>
      <c r="E16" s="4" t="s">
        <v>496</v>
      </c>
      <c r="F16" s="4" t="s">
        <v>647</v>
      </c>
      <c r="G16" s="21" t="s">
        <v>544</v>
      </c>
      <c r="H16" s="4">
        <v>50</v>
      </c>
      <c r="I16" s="4" t="s">
        <v>547</v>
      </c>
      <c r="J16" s="4" t="s">
        <v>502</v>
      </c>
      <c r="K16" s="4" t="s">
        <v>503</v>
      </c>
      <c r="L16" s="4">
        <v>6.80</v>
      </c>
      <c r="M16" s="4"/>
      <c r="N16" s="4"/>
    </row>
    <row r="17" spans="1:14" ht="14.25" customHeight="1">
      <c r="A17" s="4" t="s">
        <v>650</v>
      </c>
      <c r="B17" s="20" t="str">
        <f t="shared" si="0"/>
        <v>Конденсатор 0603C ёмкостью 8,2 н 10%, 50 В, X7R</v>
      </c>
      <c r="C17" s="4" t="s">
        <v>496</v>
      </c>
      <c r="D17" s="4" t="s">
        <v>500</v>
      </c>
      <c r="E17" s="4" t="s">
        <v>496</v>
      </c>
      <c r="F17" s="4" t="s">
        <v>655</v>
      </c>
      <c r="G17" s="21" t="s">
        <v>544</v>
      </c>
      <c r="H17" s="4">
        <v>50</v>
      </c>
      <c r="I17" s="4" t="s">
        <v>547</v>
      </c>
      <c r="J17" s="4" t="s">
        <v>502</v>
      </c>
      <c r="K17" s="4" t="s">
        <v>503</v>
      </c>
      <c r="L17" s="4">
        <v>8.20</v>
      </c>
      <c r="M17" s="4"/>
      <c r="N17" s="4"/>
    </row>
    <row r="18" spans="1:14" ht="14.25" customHeight="1">
      <c r="A18" s="4" t="s">
        <v>659</v>
      </c>
      <c r="B18" s="20" t="str">
        <f t="shared" si="0"/>
        <v>Конденсатор 0603C ёмкостью 10 н 10%, 50 В, X7R</v>
      </c>
      <c r="C18" s="4" t="s">
        <v>496</v>
      </c>
      <c r="D18" s="4" t="s">
        <v>500</v>
      </c>
      <c r="E18" s="4" t="s">
        <v>496</v>
      </c>
      <c r="F18" s="4" t="s">
        <v>661</v>
      </c>
      <c r="G18" s="21" t="s">
        <v>544</v>
      </c>
      <c r="H18" s="4">
        <v>50</v>
      </c>
      <c r="I18" s="4" t="s">
        <v>547</v>
      </c>
      <c r="J18" s="4" t="s">
        <v>502</v>
      </c>
      <c r="K18" s="4" t="s">
        <v>503</v>
      </c>
      <c r="L18" s="4">
        <v>10</v>
      </c>
      <c r="M18" s="4"/>
      <c r="N18" s="4"/>
    </row>
    <row r="19" spans="1:14" ht="14.25" customHeight="1">
      <c r="A19" s="4" t="s">
        <v>669</v>
      </c>
      <c r="B19" s="20" t="str">
        <f t="shared" si="0"/>
        <v>Конденсатор 0603C ёмкостью 12 н 10%, 50 В, X7R</v>
      </c>
      <c r="C19" s="4" t="s">
        <v>496</v>
      </c>
      <c r="D19" s="4" t="s">
        <v>500</v>
      </c>
      <c r="E19" s="4" t="s">
        <v>496</v>
      </c>
      <c r="F19" s="4" t="s">
        <v>671</v>
      </c>
      <c r="G19" s="21" t="s">
        <v>544</v>
      </c>
      <c r="H19" s="4">
        <v>50</v>
      </c>
      <c r="I19" s="4" t="s">
        <v>547</v>
      </c>
      <c r="J19" s="4" t="s">
        <v>502</v>
      </c>
      <c r="K19" s="4" t="s">
        <v>503</v>
      </c>
      <c r="L19" s="4">
        <v>12</v>
      </c>
      <c r="M19" s="4"/>
      <c r="N19" s="4"/>
    </row>
    <row r="20" spans="1:14" ht="14.25" customHeight="1">
      <c r="A20" s="4" t="s">
        <v>677</v>
      </c>
      <c r="B20" s="20" t="str">
        <f t="shared" si="0"/>
        <v>Конденсатор 0603C ёмкостью 15 н 10%, 50 В, X7R</v>
      </c>
      <c r="C20" s="4" t="s">
        <v>496</v>
      </c>
      <c r="D20" s="4" t="s">
        <v>500</v>
      </c>
      <c r="E20" s="4" t="s">
        <v>496</v>
      </c>
      <c r="F20" s="4" t="s">
        <v>679</v>
      </c>
      <c r="G20" s="21" t="s">
        <v>544</v>
      </c>
      <c r="H20" s="4">
        <v>50</v>
      </c>
      <c r="I20" s="4" t="s">
        <v>547</v>
      </c>
      <c r="J20" s="4" t="s">
        <v>502</v>
      </c>
      <c r="K20" s="4" t="s">
        <v>503</v>
      </c>
      <c r="L20" s="4">
        <v>15</v>
      </c>
      <c r="M20" s="4"/>
      <c r="N20" s="4"/>
    </row>
    <row r="21" spans="1:14" ht="14.25" customHeight="1">
      <c r="A21" s="4" t="s">
        <v>685</v>
      </c>
      <c r="B21" s="20" t="str">
        <f t="shared" si="0"/>
        <v>Конденсатор 0603C ёмкостью 18 н 10%, 50 В, X7R</v>
      </c>
      <c r="C21" s="4" t="s">
        <v>496</v>
      </c>
      <c r="D21" s="4" t="s">
        <v>500</v>
      </c>
      <c r="E21" s="4" t="s">
        <v>496</v>
      </c>
      <c r="F21" s="4" t="s">
        <v>688</v>
      </c>
      <c r="G21" s="21" t="s">
        <v>544</v>
      </c>
      <c r="H21" s="4">
        <v>50</v>
      </c>
      <c r="I21" s="4" t="s">
        <v>547</v>
      </c>
      <c r="J21" s="4" t="s">
        <v>502</v>
      </c>
      <c r="K21" s="4" t="s">
        <v>503</v>
      </c>
      <c r="L21" s="4">
        <v>18</v>
      </c>
      <c r="M21" s="4"/>
      <c r="N21" s="4"/>
    </row>
    <row r="22" spans="1:14" ht="14.25" customHeight="1">
      <c r="A22" s="4" t="s">
        <v>698</v>
      </c>
      <c r="B22" s="20" t="str">
        <f t="shared" si="0"/>
        <v>Конденсатор 0603C ёмкостью 22 н 10%, 50 В, X7R</v>
      </c>
      <c r="C22" s="4" t="s">
        <v>496</v>
      </c>
      <c r="D22" s="4" t="s">
        <v>500</v>
      </c>
      <c r="E22" s="4" t="s">
        <v>496</v>
      </c>
      <c r="F22" s="4" t="s">
        <v>704</v>
      </c>
      <c r="G22" s="21" t="s">
        <v>544</v>
      </c>
      <c r="H22" s="4">
        <v>50</v>
      </c>
      <c r="I22" s="4" t="s">
        <v>547</v>
      </c>
      <c r="J22" s="4" t="s">
        <v>502</v>
      </c>
      <c r="K22" s="4" t="s">
        <v>503</v>
      </c>
      <c r="L22" s="4">
        <v>22</v>
      </c>
      <c r="M22" s="4"/>
      <c r="N22" s="4"/>
    </row>
    <row r="23" spans="1:14" ht="14.25" customHeight="1">
      <c r="A23" s="4" t="s">
        <v>712</v>
      </c>
      <c r="B23" s="20" t="str">
        <f t="shared" si="0"/>
        <v>Конденсатор 0603C ёмкостью 27 н 10%, 50 В, X7R</v>
      </c>
      <c r="C23" s="4" t="s">
        <v>496</v>
      </c>
      <c r="D23" s="4" t="s">
        <v>500</v>
      </c>
      <c r="E23" s="4" t="s">
        <v>496</v>
      </c>
      <c r="F23" s="4" t="s">
        <v>716</v>
      </c>
      <c r="G23" s="21" t="s">
        <v>544</v>
      </c>
      <c r="H23" s="4">
        <v>50</v>
      </c>
      <c r="I23" s="4" t="s">
        <v>547</v>
      </c>
      <c r="J23" s="4" t="s">
        <v>502</v>
      </c>
      <c r="K23" s="4" t="s">
        <v>503</v>
      </c>
      <c r="L23" s="4">
        <v>27</v>
      </c>
      <c r="M23" s="4"/>
      <c r="N23" s="4"/>
    </row>
    <row r="24" spans="1:14" ht="14.25" customHeight="1">
      <c r="A24" s="4" t="s">
        <v>721</v>
      </c>
      <c r="B24" s="20" t="str">
        <f t="shared" si="0"/>
        <v>Конденсатор 0603C ёмкостью 33 н 10%, 50 В, X7R</v>
      </c>
      <c r="C24" s="4" t="s">
        <v>496</v>
      </c>
      <c r="D24" s="4" t="s">
        <v>500</v>
      </c>
      <c r="E24" s="4" t="s">
        <v>496</v>
      </c>
      <c r="F24" s="4" t="s">
        <v>726</v>
      </c>
      <c r="G24" s="21" t="s">
        <v>544</v>
      </c>
      <c r="H24" s="4">
        <v>50</v>
      </c>
      <c r="I24" s="4" t="s">
        <v>547</v>
      </c>
      <c r="J24" s="4" t="s">
        <v>502</v>
      </c>
      <c r="K24" s="4" t="s">
        <v>503</v>
      </c>
      <c r="L24" s="4">
        <v>33</v>
      </c>
      <c r="M24" s="4"/>
      <c r="N24" s="4"/>
    </row>
    <row r="25" spans="1:14" ht="14.25" customHeight="1">
      <c r="A25" s="4" t="s">
        <v>735</v>
      </c>
      <c r="B25" s="20" t="str">
        <f t="shared" si="0"/>
        <v>Конденсатор 0603C ёмкостью 39 н 10%, 50 В, X7R</v>
      </c>
      <c r="C25" s="4" t="s">
        <v>496</v>
      </c>
      <c r="D25" s="4" t="s">
        <v>500</v>
      </c>
      <c r="E25" s="4" t="s">
        <v>496</v>
      </c>
      <c r="F25" s="4" t="s">
        <v>739</v>
      </c>
      <c r="G25" s="21" t="s">
        <v>544</v>
      </c>
      <c r="H25" s="4">
        <v>50</v>
      </c>
      <c r="I25" s="4" t="s">
        <v>547</v>
      </c>
      <c r="J25" s="4" t="s">
        <v>502</v>
      </c>
      <c r="K25" s="4" t="s">
        <v>503</v>
      </c>
      <c r="L25" s="4">
        <v>39</v>
      </c>
      <c r="M25" s="4"/>
      <c r="N25" s="4"/>
    </row>
    <row r="26" spans="1:14" ht="14.25" customHeight="1">
      <c r="A26" s="4" t="s">
        <v>745</v>
      </c>
      <c r="B26" s="20" t="str">
        <f t="shared" si="0"/>
        <v>Конденсатор 0603C ёмкостью 47 н 10%, 50 В, X7R</v>
      </c>
      <c r="C26" s="4" t="s">
        <v>496</v>
      </c>
      <c r="D26" s="4" t="s">
        <v>500</v>
      </c>
      <c r="E26" s="4" t="s">
        <v>496</v>
      </c>
      <c r="F26" s="4" t="s">
        <v>748</v>
      </c>
      <c r="G26" s="21" t="s">
        <v>544</v>
      </c>
      <c r="H26" s="4">
        <v>50</v>
      </c>
      <c r="I26" s="4" t="s">
        <v>547</v>
      </c>
      <c r="J26" s="4" t="s">
        <v>502</v>
      </c>
      <c r="K26" s="4" t="s">
        <v>503</v>
      </c>
      <c r="L26" s="4">
        <v>47</v>
      </c>
      <c r="M26" s="4"/>
      <c r="N26" s="4"/>
    </row>
    <row r="27" spans="1:14" ht="14.25" customHeight="1">
      <c r="A27" s="4" t="s">
        <v>755</v>
      </c>
      <c r="B27" s="20" t="str">
        <f t="shared" si="0"/>
        <v>Конденсатор 0603C ёмкостью 56 н 10%, 50 В, X7R</v>
      </c>
      <c r="C27" s="4" t="s">
        <v>496</v>
      </c>
      <c r="D27" s="4" t="s">
        <v>500</v>
      </c>
      <c r="E27" s="4" t="s">
        <v>496</v>
      </c>
      <c r="F27" s="4" t="s">
        <v>761</v>
      </c>
      <c r="G27" s="21" t="s">
        <v>544</v>
      </c>
      <c r="H27" s="4">
        <v>50</v>
      </c>
      <c r="I27" s="4" t="s">
        <v>547</v>
      </c>
      <c r="J27" s="4" t="s">
        <v>502</v>
      </c>
      <c r="K27" s="4" t="s">
        <v>503</v>
      </c>
      <c r="L27" s="4">
        <v>56</v>
      </c>
      <c r="M27" s="4"/>
      <c r="N27" s="4"/>
    </row>
    <row r="28" spans="1:14" ht="14.25" customHeight="1">
      <c r="A28" s="4" t="s">
        <v>768</v>
      </c>
      <c r="B28" s="20" t="str">
        <f t="shared" si="0"/>
        <v>Конденсатор 0603C ёмкостью 68 н 10%, 50 В, X7R</v>
      </c>
      <c r="C28" s="4" t="s">
        <v>496</v>
      </c>
      <c r="D28" s="4" t="s">
        <v>500</v>
      </c>
      <c r="E28" s="4" t="s">
        <v>496</v>
      </c>
      <c r="F28" s="4" t="s">
        <v>769</v>
      </c>
      <c r="G28" s="21" t="s">
        <v>544</v>
      </c>
      <c r="H28" s="4">
        <v>50</v>
      </c>
      <c r="I28" s="4" t="s">
        <v>547</v>
      </c>
      <c r="J28" s="4" t="s">
        <v>502</v>
      </c>
      <c r="K28" s="4" t="s">
        <v>503</v>
      </c>
      <c r="L28" s="4">
        <v>68</v>
      </c>
      <c r="M28" s="4"/>
      <c r="N28" s="4"/>
    </row>
    <row r="29" spans="1:14" ht="14.25" customHeight="1">
      <c r="A29" s="4" t="s">
        <v>773</v>
      </c>
      <c r="B29" s="20" t="str">
        <f t="shared" si="0"/>
        <v>Конденсатор 0603C ёмкостью 82 н 10%, 50 В, X7R</v>
      </c>
      <c r="C29" s="4" t="s">
        <v>496</v>
      </c>
      <c r="D29" s="4" t="s">
        <v>500</v>
      </c>
      <c r="E29" s="4" t="s">
        <v>496</v>
      </c>
      <c r="F29" s="4" t="s">
        <v>778</v>
      </c>
      <c r="G29" s="21" t="s">
        <v>544</v>
      </c>
      <c r="H29" s="4">
        <v>50</v>
      </c>
      <c r="I29" s="4" t="s">
        <v>547</v>
      </c>
      <c r="J29" s="4" t="s">
        <v>502</v>
      </c>
      <c r="K29" s="4" t="s">
        <v>503</v>
      </c>
      <c r="L29" s="4">
        <v>82</v>
      </c>
      <c r="M29" s="4"/>
      <c r="N29" s="4"/>
    </row>
    <row r="30" spans="1:14" ht="14.25" customHeight="1">
      <c r="A30" s="4" t="s">
        <v>782</v>
      </c>
      <c r="B30" s="20" t="str">
        <f t="shared" si="0"/>
        <v>Конденсатор 0603C ёмкостью 0,1 мк 10%, 50 В, X7R</v>
      </c>
      <c r="C30" s="4" t="s">
        <v>496</v>
      </c>
      <c r="D30" s="4" t="s">
        <v>500</v>
      </c>
      <c r="E30" s="4" t="s">
        <v>496</v>
      </c>
      <c r="F30" s="4" t="s">
        <v>501</v>
      </c>
      <c r="G30" s="21" t="s">
        <v>544</v>
      </c>
      <c r="H30" s="4">
        <v>50</v>
      </c>
      <c r="I30" s="4" t="s">
        <v>547</v>
      </c>
      <c r="J30" s="4" t="s">
        <v>502</v>
      </c>
      <c r="K30" s="4" t="s">
        <v>503</v>
      </c>
      <c r="L30" s="4">
        <v>100</v>
      </c>
      <c r="M30" s="4"/>
      <c r="N30" s="4"/>
    </row>
    <row r="31" spans="1:14" ht="14.25" customHeight="1">
      <c r="A31" s="4" t="s">
        <v>791</v>
      </c>
      <c r="B31" s="20" t="str">
        <f t="shared" si="0"/>
        <v>Конденсатор 0603C ёмкостью 0,12 мк 10%, 50 В, X7R</v>
      </c>
      <c r="C31" s="4" t="s">
        <v>496</v>
      </c>
      <c r="D31" s="4" t="s">
        <v>500</v>
      </c>
      <c r="E31" s="4" t="s">
        <v>496</v>
      </c>
      <c r="F31" s="4" t="s">
        <v>794</v>
      </c>
      <c r="G31" s="21" t="s">
        <v>544</v>
      </c>
      <c r="H31" s="4">
        <v>50</v>
      </c>
      <c r="I31" s="4" t="s">
        <v>547</v>
      </c>
      <c r="J31" s="4" t="s">
        <v>502</v>
      </c>
      <c r="K31" s="4" t="s">
        <v>503</v>
      </c>
      <c r="L31" s="4">
        <v>120</v>
      </c>
      <c r="M31" s="4"/>
      <c r="N31" s="4"/>
    </row>
    <row r="32" spans="1:14" ht="14.25" customHeight="1">
      <c r="A32" s="4" t="s">
        <v>797</v>
      </c>
      <c r="B32" s="20" t="str">
        <f t="shared" si="0"/>
        <v>Конденсатор 0603C ёмкостью 0,15 мк 10%, 50 В, X7R</v>
      </c>
      <c r="C32" s="4" t="s">
        <v>496</v>
      </c>
      <c r="D32" s="4" t="s">
        <v>500</v>
      </c>
      <c r="E32" s="4" t="s">
        <v>496</v>
      </c>
      <c r="F32" s="4" t="s">
        <v>799</v>
      </c>
      <c r="G32" s="21" t="s">
        <v>544</v>
      </c>
      <c r="H32" s="4">
        <v>50</v>
      </c>
      <c r="I32" s="4" t="s">
        <v>547</v>
      </c>
      <c r="J32" s="4" t="s">
        <v>502</v>
      </c>
      <c r="K32" s="4" t="s">
        <v>503</v>
      </c>
      <c r="L32" s="4">
        <v>150</v>
      </c>
      <c r="M32" s="4"/>
      <c r="N32" s="4"/>
    </row>
    <row r="33" spans="1:14" ht="14.25" customHeight="1">
      <c r="A33" s="4" t="s">
        <v>803</v>
      </c>
      <c r="B33" s="20" t="str">
        <f t="shared" si="0"/>
        <v>Конденсатор 0603C ёмкостью 0,18 мк 10%, 50 В, X7R</v>
      </c>
      <c r="C33" s="4" t="s">
        <v>496</v>
      </c>
      <c r="D33" s="4" t="s">
        <v>500</v>
      </c>
      <c r="E33" s="4" t="s">
        <v>496</v>
      </c>
      <c r="F33" s="4" t="s">
        <v>806</v>
      </c>
      <c r="G33" s="21" t="s">
        <v>544</v>
      </c>
      <c r="H33" s="4">
        <v>50</v>
      </c>
      <c r="I33" s="4" t="s">
        <v>547</v>
      </c>
      <c r="J33" s="4" t="s">
        <v>502</v>
      </c>
      <c r="K33" s="4" t="s">
        <v>503</v>
      </c>
      <c r="L33" s="4">
        <v>180</v>
      </c>
      <c r="M33" s="4"/>
      <c r="N33" s="4"/>
    </row>
    <row r="34" spans="1:14" ht="14.25" customHeight="1">
      <c r="A34" s="4" t="s">
        <v>810</v>
      </c>
      <c r="B34" s="20" t="str">
        <f t="shared" si="0"/>
        <v>Конденсатор 0603C ёмкостью 0,22 мк 10%, 50 В, X7R</v>
      </c>
      <c r="C34" s="4" t="s">
        <v>496</v>
      </c>
      <c r="D34" s="4" t="s">
        <v>500</v>
      </c>
      <c r="E34" s="4" t="s">
        <v>496</v>
      </c>
      <c r="F34" s="4" t="s">
        <v>812</v>
      </c>
      <c r="G34" s="21" t="s">
        <v>544</v>
      </c>
      <c r="H34" s="4">
        <v>50</v>
      </c>
      <c r="I34" s="4" t="s">
        <v>547</v>
      </c>
      <c r="J34" s="4" t="s">
        <v>502</v>
      </c>
      <c r="K34" s="4" t="s">
        <v>503</v>
      </c>
      <c r="L34" s="4">
        <v>220</v>
      </c>
      <c r="M34" s="4"/>
      <c r="N34" s="4"/>
    </row>
    <row r="35" spans="1:14" ht="14.25" customHeight="1">
      <c r="A35" s="4" t="s">
        <v>817</v>
      </c>
      <c r="B35" s="20" t="str">
        <f t="shared" si="0"/>
        <v>Конденсатор 0603C ёмкостью 0,27 мк 10%, 50 В, X7R</v>
      </c>
      <c r="C35" s="4" t="s">
        <v>496</v>
      </c>
      <c r="D35" s="4" t="s">
        <v>500</v>
      </c>
      <c r="E35" s="4" t="s">
        <v>496</v>
      </c>
      <c r="F35" s="4" t="s">
        <v>818</v>
      </c>
      <c r="G35" s="21" t="s">
        <v>544</v>
      </c>
      <c r="H35" s="4">
        <v>50</v>
      </c>
      <c r="I35" s="4" t="s">
        <v>547</v>
      </c>
      <c r="J35" s="4" t="s">
        <v>502</v>
      </c>
      <c r="K35" s="4" t="s">
        <v>503</v>
      </c>
      <c r="L35" s="4">
        <v>270</v>
      </c>
      <c r="M35" s="4"/>
      <c r="N35" s="4"/>
    </row>
    <row r="36" spans="1:14" ht="14.25" customHeight="1">
      <c r="A36" s="4" t="s">
        <v>823</v>
      </c>
      <c r="B36" s="20" t="str">
        <f t="shared" si="0"/>
        <v>Конденсатор 0603C ёмкостью 0,33 мк 10%, 50 В, X7R</v>
      </c>
      <c r="C36" s="4" t="s">
        <v>496</v>
      </c>
      <c r="D36" s="4" t="s">
        <v>500</v>
      </c>
      <c r="E36" s="4" t="s">
        <v>496</v>
      </c>
      <c r="F36" s="4" t="s">
        <v>825</v>
      </c>
      <c r="G36" s="21" t="s">
        <v>544</v>
      </c>
      <c r="H36" s="4">
        <v>50</v>
      </c>
      <c r="I36" s="4" t="s">
        <v>547</v>
      </c>
      <c r="J36" s="4" t="s">
        <v>502</v>
      </c>
      <c r="K36" s="4" t="s">
        <v>503</v>
      </c>
      <c r="L36" s="4">
        <v>330</v>
      </c>
      <c r="M36" s="4"/>
      <c r="N36" s="4"/>
    </row>
    <row r="37" spans="1:14" ht="14.25" customHeight="1">
      <c r="A37" s="4" t="s">
        <v>827</v>
      </c>
      <c r="B37" s="20" t="str">
        <f t="shared" si="0"/>
        <v>Конденсатор 0603C ёмкостью 0,39 мк 10%, 50 В, X7R</v>
      </c>
      <c r="C37" s="4" t="s">
        <v>496</v>
      </c>
      <c r="D37" s="4" t="s">
        <v>500</v>
      </c>
      <c r="E37" s="4" t="s">
        <v>496</v>
      </c>
      <c r="F37" s="4" t="s">
        <v>830</v>
      </c>
      <c r="G37" s="21" t="s">
        <v>544</v>
      </c>
      <c r="H37" s="4">
        <v>50</v>
      </c>
      <c r="I37" s="4" t="s">
        <v>547</v>
      </c>
      <c r="J37" s="4" t="s">
        <v>502</v>
      </c>
      <c r="K37" s="4" t="s">
        <v>503</v>
      </c>
      <c r="L37" s="4">
        <v>390</v>
      </c>
      <c r="M37" s="4"/>
      <c r="N37" s="4"/>
    </row>
    <row r="38" spans="1:14" ht="14.25" customHeight="1">
      <c r="A38" s="4" t="s">
        <v>833</v>
      </c>
      <c r="B38" s="20" t="str">
        <f t="shared" si="0"/>
        <v>Конденсатор 0603C ёмкостью 0,47 мк 10%, 50 В, X7R</v>
      </c>
      <c r="C38" s="4" t="s">
        <v>496</v>
      </c>
      <c r="D38" s="4" t="s">
        <v>500</v>
      </c>
      <c r="E38" s="4" t="s">
        <v>496</v>
      </c>
      <c r="F38" s="4" t="s">
        <v>835</v>
      </c>
      <c r="G38" s="21" t="s">
        <v>544</v>
      </c>
      <c r="H38" s="4">
        <v>50</v>
      </c>
      <c r="I38" s="4" t="s">
        <v>547</v>
      </c>
      <c r="J38" s="4" t="s">
        <v>502</v>
      </c>
      <c r="K38" s="4" t="s">
        <v>503</v>
      </c>
      <c r="L38" s="4">
        <v>470</v>
      </c>
      <c r="M38" s="4"/>
      <c r="N38" s="4"/>
    </row>
    <row r="39" spans="1:14" ht="14.25" customHeight="1">
      <c r="A39" s="4" t="s">
        <v>838</v>
      </c>
      <c r="B39" s="20" t="str">
        <f t="shared" si="0"/>
        <v>Конденсатор 0603C ёмкостью 0,56 мк 10%, 50 В, X7R</v>
      </c>
      <c r="C39" s="4" t="s">
        <v>496</v>
      </c>
      <c r="D39" s="4" t="s">
        <v>500</v>
      </c>
      <c r="E39" s="4" t="s">
        <v>496</v>
      </c>
      <c r="F39" s="4" t="s">
        <v>840</v>
      </c>
      <c r="G39" s="21" t="s">
        <v>544</v>
      </c>
      <c r="H39" s="4">
        <v>50</v>
      </c>
      <c r="I39" s="4" t="s">
        <v>547</v>
      </c>
      <c r="J39" s="4" t="s">
        <v>502</v>
      </c>
      <c r="K39" s="4" t="s">
        <v>503</v>
      </c>
      <c r="L39" s="4">
        <v>560</v>
      </c>
      <c r="M39" s="4"/>
      <c r="N39" s="4"/>
    </row>
    <row r="40" spans="1:14" ht="14.25" customHeight="1">
      <c r="A40" s="4" t="s">
        <v>842</v>
      </c>
      <c r="B40" s="20" t="str">
        <f t="shared" si="0"/>
        <v>Конденсатор 0603C ёмкостью 0,68 мк 10%, 50 В, X7R</v>
      </c>
      <c r="C40" s="4" t="s">
        <v>496</v>
      </c>
      <c r="D40" s="4" t="s">
        <v>500</v>
      </c>
      <c r="E40" s="4" t="s">
        <v>496</v>
      </c>
      <c r="F40" s="4" t="s">
        <v>849</v>
      </c>
      <c r="G40" s="21" t="s">
        <v>544</v>
      </c>
      <c r="H40" s="4">
        <v>50</v>
      </c>
      <c r="I40" s="4" t="s">
        <v>547</v>
      </c>
      <c r="J40" s="4" t="s">
        <v>502</v>
      </c>
      <c r="K40" s="4" t="s">
        <v>503</v>
      </c>
      <c r="L40" s="4">
        <v>680</v>
      </c>
      <c r="M40" s="4"/>
      <c r="N40" s="4"/>
    </row>
    <row r="41" spans="1:14" ht="14.25" customHeight="1">
      <c r="A41" s="4" t="s">
        <v>853</v>
      </c>
      <c r="B41" s="20" t="str">
        <f t="shared" si="0"/>
        <v>Конденсатор 0603C ёмкостью 0,82 мк 10%, 50 В, X7R</v>
      </c>
      <c r="C41" s="4" t="s">
        <v>496</v>
      </c>
      <c r="D41" s="4" t="s">
        <v>500</v>
      </c>
      <c r="E41" s="4" t="s">
        <v>496</v>
      </c>
      <c r="F41" s="4" t="s">
        <v>855</v>
      </c>
      <c r="G41" s="21" t="s">
        <v>544</v>
      </c>
      <c r="H41" s="4">
        <v>50</v>
      </c>
      <c r="I41" s="4" t="s">
        <v>547</v>
      </c>
      <c r="J41" s="4" t="s">
        <v>502</v>
      </c>
      <c r="K41" s="4" t="s">
        <v>503</v>
      </c>
      <c r="L41" s="4">
        <v>820</v>
      </c>
      <c r="M41" s="4"/>
      <c r="N41" s="4"/>
    </row>
    <row r="42" spans="1:14" ht="14.25" customHeight="1">
      <c r="A42" s="4" t="s">
        <v>862</v>
      </c>
      <c r="B42" s="20" t="str">
        <f t="shared" si="0"/>
        <v>Конденсатор 0603C ёмкостью 1 мк 10%, 25 В, X7R</v>
      </c>
      <c r="C42" s="4" t="s">
        <v>496</v>
      </c>
      <c r="D42" s="4" t="s">
        <v>500</v>
      </c>
      <c r="E42" s="4" t="s">
        <v>496</v>
      </c>
      <c r="F42" s="4" t="s">
        <v>581</v>
      </c>
      <c r="G42" s="21" t="s">
        <v>544</v>
      </c>
      <c r="H42" s="4" t="s">
        <v>866</v>
      </c>
      <c r="I42" s="4" t="s">
        <v>547</v>
      </c>
      <c r="J42" s="4" t="s">
        <v>502</v>
      </c>
      <c r="K42" s="4" t="s">
        <v>503</v>
      </c>
      <c r="L42" s="4">
        <v>1000</v>
      </c>
      <c r="M42" s="4"/>
      <c r="N42" s="4"/>
    </row>
    <row r="43" spans="1:14" ht="14.25" customHeight="1">
      <c r="A43" s="4" t="s">
        <v>870</v>
      </c>
      <c r="B43" s="20" t="str">
        <f t="shared" si="0"/>
        <v>Конденсатор 1206C ёмкостью 2,2 мк 10%, 50 В, X7R</v>
      </c>
      <c r="C43" s="4" t="s">
        <v>496</v>
      </c>
      <c r="D43" s="4" t="s">
        <v>500</v>
      </c>
      <c r="E43" s="4" t="s">
        <v>496</v>
      </c>
      <c r="F43" s="4" t="s">
        <v>590</v>
      </c>
      <c r="G43" s="21" t="s">
        <v>544</v>
      </c>
      <c r="H43" s="4">
        <v>50</v>
      </c>
      <c r="I43" s="4" t="s">
        <v>547</v>
      </c>
      <c r="J43" s="4" t="s">
        <v>874</v>
      </c>
      <c r="K43" s="4" t="s">
        <v>875</v>
      </c>
      <c r="L43" s="4" t="s">
        <v>876</v>
      </c>
      <c r="M43" s="4"/>
      <c r="N43" s="4"/>
    </row>
    <row r="44" spans="1:14" ht="14.25" customHeight="1">
      <c r="A44" s="4" t="s">
        <v>879</v>
      </c>
      <c r="B44" s="20" t="str">
        <f t="shared" si="0"/>
        <v>Конденсатор 1206C ёмкостью 4,7 мк 10%, 50 В, X7R</v>
      </c>
      <c r="C44" s="4" t="s">
        <v>496</v>
      </c>
      <c r="D44" s="4" t="s">
        <v>500</v>
      </c>
      <c r="E44" s="4" t="s">
        <v>496</v>
      </c>
      <c r="F44" s="4" t="s">
        <v>514</v>
      </c>
      <c r="G44" s="21" t="s">
        <v>544</v>
      </c>
      <c r="H44" s="4">
        <v>50</v>
      </c>
      <c r="I44" s="4" t="s">
        <v>547</v>
      </c>
      <c r="J44" s="4" t="s">
        <v>874</v>
      </c>
      <c r="K44" s="4" t="s">
        <v>875</v>
      </c>
      <c r="L44" s="4">
        <v>4700</v>
      </c>
      <c r="M44" s="4"/>
      <c r="N44" s="4"/>
    </row>
    <row r="45" spans="1:14" ht="14.25" customHeight="1">
      <c r="A45" s="4" t="s">
        <v>887</v>
      </c>
      <c r="B45" s="20" t="str">
        <f t="shared" si="0"/>
        <v>Конденсатор 1210C ёмкостью 10 мк 10%, 35 В, X7R</v>
      </c>
      <c r="C45" s="4" t="s">
        <v>496</v>
      </c>
      <c r="D45" s="4" t="s">
        <v>500</v>
      </c>
      <c r="E45" s="4" t="s">
        <v>496</v>
      </c>
      <c r="F45" s="4" t="s">
        <v>611</v>
      </c>
      <c r="G45" s="21" t="s">
        <v>544</v>
      </c>
      <c r="H45" s="4">
        <v>35</v>
      </c>
      <c r="I45" s="4" t="s">
        <v>547</v>
      </c>
      <c r="J45" s="4" t="s">
        <v>890</v>
      </c>
      <c r="K45" s="4" t="s">
        <v>891</v>
      </c>
      <c r="L45" s="4">
        <v>10000</v>
      </c>
      <c r="M45" s="4"/>
      <c r="N45" s="4"/>
    </row>
    <row r="46" spans="1:14" ht="14.25" customHeight="1">
      <c r="A46" s="4" t="s">
        <v>894</v>
      </c>
      <c r="B46" s="20" t="str">
        <f t="shared" si="0"/>
        <v>Конденсатор 1210C ёмкостью 22 мк 10%, 25 В, X7R</v>
      </c>
      <c r="C46" s="4" t="s">
        <v>496</v>
      </c>
      <c r="D46" s="4" t="s">
        <v>500</v>
      </c>
      <c r="E46" s="4" t="s">
        <v>496</v>
      </c>
      <c r="F46" s="4" t="s">
        <v>620</v>
      </c>
      <c r="G46" s="21" t="s">
        <v>544</v>
      </c>
      <c r="H46" s="4">
        <v>25</v>
      </c>
      <c r="I46" s="4" t="s">
        <v>547</v>
      </c>
      <c r="J46" s="4" t="s">
        <v>890</v>
      </c>
      <c r="K46" s="4" t="s">
        <v>891</v>
      </c>
      <c r="L46" s="4">
        <v>22000</v>
      </c>
      <c r="M46" s="4"/>
      <c r="N46" s="4"/>
    </row>
    <row r="47" spans="1:14" ht="14.25" customHeight="1">
      <c r="A47" s="4" t="s">
        <v>898</v>
      </c>
      <c r="B47" s="20" t="str">
        <f t="shared" si="0"/>
        <v>Конденсатор 1812C ёмкостью 0,1 мк 10%, 1000 В, X7R</v>
      </c>
      <c r="C47" s="4" t="s">
        <v>496</v>
      </c>
      <c r="D47" s="4" t="s">
        <v>500</v>
      </c>
      <c r="E47" s="4" t="s">
        <v>496</v>
      </c>
      <c r="F47" s="4" t="s">
        <v>501</v>
      </c>
      <c r="G47" s="21" t="s">
        <v>544</v>
      </c>
      <c r="H47" s="4">
        <v>1000</v>
      </c>
      <c r="I47" s="4" t="s">
        <v>547</v>
      </c>
      <c r="J47" s="4" t="s">
        <v>905</v>
      </c>
      <c r="K47" s="4" t="s">
        <v>906</v>
      </c>
      <c r="L47" s="4">
        <v>100</v>
      </c>
      <c r="M47" s="4"/>
      <c r="N47" s="4"/>
    </row>
    <row r="48" spans="1:14" ht="14.25" customHeight="1">
      <c r="A48" s="4" t="s">
        <v>908</v>
      </c>
      <c r="B48" s="6" t="str">
        <f t="shared" si="0"/>
        <v>Конденсатор 1210C ёмкостью 1н 10%, 1000 В, X7R</v>
      </c>
      <c r="C48" s="4" t="s">
        <v>496</v>
      </c>
      <c r="D48" s="4" t="s">
        <v>500</v>
      </c>
      <c r="E48" s="4" t="s">
        <v>496</v>
      </c>
      <c r="F48" s="4" t="s">
        <v>912</v>
      </c>
      <c r="G48" s="21" t="s">
        <v>544</v>
      </c>
      <c r="H48" s="4">
        <v>1000</v>
      </c>
      <c r="I48" s="4" t="s">
        <v>547</v>
      </c>
      <c r="J48" s="4" t="s">
        <v>890</v>
      </c>
      <c r="K48" s="4" t="s">
        <v>891</v>
      </c>
      <c r="L48" s="4" t="s">
        <v>915</v>
      </c>
      <c r="M48" s="4" t="s">
        <v>916</v>
      </c>
      <c r="N48" s="4" t="s">
        <v>45</v>
      </c>
    </row>
    <row r="49" spans="1:14" ht="14.25" customHeight="1">
      <c r="A49" s="4" t="s">
        <v>917</v>
      </c>
      <c r="B49" s="6" t="str">
        <f t="shared" si="0"/>
        <v>Конденсатор 0603C ёмкостью 22п 5%, 50 В, NP0</v>
      </c>
      <c r="C49" s="4" t="s">
        <v>917</v>
      </c>
      <c r="D49" s="4" t="s">
        <v>500</v>
      </c>
      <c r="E49" s="4" t="s">
        <v>496</v>
      </c>
      <c r="F49" s="4" t="s">
        <v>920</v>
      </c>
      <c r="G49" s="26" t="s">
        <v>921</v>
      </c>
      <c r="H49" s="4" t="s">
        <v>922</v>
      </c>
      <c r="I49" s="4" t="s">
        <v>923</v>
      </c>
      <c r="J49" s="4" t="s">
        <v>502</v>
      </c>
      <c r="K49" s="4" t="s">
        <v>503</v>
      </c>
      <c r="L49" s="4" t="s">
        <v>924</v>
      </c>
      <c r="M49" s="4" t="s">
        <v>925</v>
      </c>
      <c r="N49" s="4" t="s">
        <v>45</v>
      </c>
    </row>
    <row r="50" spans="1:14" ht="14.25" customHeight="1">
      <c r="A50" s="4" t="s">
        <v>926</v>
      </c>
      <c r="B50" s="25" t="str">
        <f t="shared" si="0"/>
        <v>Конденсатор 0402C ёмкостью 0,1 мк 10%, 16 В, X7R</v>
      </c>
      <c r="C50" s="4" t="s">
        <v>496</v>
      </c>
      <c r="D50" s="4" t="s">
        <v>500</v>
      </c>
      <c r="E50" s="4" t="s">
        <v>496</v>
      </c>
      <c r="F50" s="4" t="s">
        <v>501</v>
      </c>
      <c r="G50" s="26" t="s">
        <v>544</v>
      </c>
      <c r="H50" s="4" t="s">
        <v>534</v>
      </c>
      <c r="I50" s="4" t="s">
        <v>547</v>
      </c>
      <c r="J50" s="4" t="s">
        <v>930</v>
      </c>
      <c r="K50" s="4" t="s">
        <v>931</v>
      </c>
      <c r="L50" s="4">
        <v>100</v>
      </c>
      <c r="M50" s="4"/>
      <c r="N50" s="4" t="s">
        <v>45</v>
      </c>
    </row>
    <row r="51" spans="1:14" ht="14.25" customHeight="1">
      <c r="A51" s="4" t="s">
        <v>933</v>
      </c>
      <c r="B51" s="6" t="str">
        <f t="shared" si="0"/>
        <v>Конденсатор 1210C ёмкостью 100 мк 20%, 16 В, X5R</v>
      </c>
      <c r="C51" s="4" t="s">
        <v>933</v>
      </c>
      <c r="D51" s="4" t="s">
        <v>500</v>
      </c>
      <c r="E51" s="4" t="s">
        <v>496</v>
      </c>
      <c r="F51" s="4" t="s">
        <v>644</v>
      </c>
      <c r="G51" s="26" t="s">
        <v>936</v>
      </c>
      <c r="H51" s="4" t="s">
        <v>534</v>
      </c>
      <c r="I51" s="4" t="s">
        <v>938</v>
      </c>
      <c r="J51" s="4" t="s">
        <v>890</v>
      </c>
      <c r="K51" s="4" t="s">
        <v>891</v>
      </c>
      <c r="L51" s="4" t="s">
        <v>940</v>
      </c>
      <c r="M51" s="4" t="s">
        <v>941</v>
      </c>
      <c r="N51" s="4" t="s">
        <v>45</v>
      </c>
    </row>
    <row r="52" spans="1:14" ht="14.25" customHeight="1">
      <c r="A52" s="4" t="s">
        <v>943</v>
      </c>
      <c r="B52" s="6" t="str">
        <f t="shared" si="0"/>
        <v>Конденсатор 1206C ёмкостью 47 мк 20%, 25 В, X5R</v>
      </c>
      <c r="C52" s="4" t="s">
        <v>943</v>
      </c>
      <c r="D52" s="4" t="s">
        <v>500</v>
      </c>
      <c r="E52" s="4" t="s">
        <v>496</v>
      </c>
      <c r="F52" s="4" t="s">
        <v>634</v>
      </c>
      <c r="G52" s="26" t="s">
        <v>936</v>
      </c>
      <c r="H52" s="4" t="s">
        <v>866</v>
      </c>
      <c r="I52" s="4" t="s">
        <v>938</v>
      </c>
      <c r="J52" s="4" t="s">
        <v>874</v>
      </c>
      <c r="K52" s="4" t="s">
        <v>875</v>
      </c>
      <c r="L52" s="4" t="s">
        <v>944</v>
      </c>
      <c r="M52" s="4" t="s">
        <v>925</v>
      </c>
      <c r="N52" s="4" t="s">
        <v>45</v>
      </c>
    </row>
    <row r="53" spans="1:14" ht="14.25" customHeight="1">
      <c r="A53" s="4" t="s">
        <v>946</v>
      </c>
      <c r="B53" s="25" t="str">
        <f t="shared" si="0"/>
        <v>Конденсатор 0603C ёмкостью 1 н 5%, 50 В, NP0</v>
      </c>
      <c r="C53" s="4" t="s">
        <v>496</v>
      </c>
      <c r="D53" s="4" t="s">
        <v>500</v>
      </c>
      <c r="E53" s="4" t="s">
        <v>496</v>
      </c>
      <c r="F53" s="4" t="s">
        <v>573</v>
      </c>
      <c r="G53" s="26" t="s">
        <v>921</v>
      </c>
      <c r="H53" s="4">
        <v>50</v>
      </c>
      <c r="I53" s="4" t="s">
        <v>923</v>
      </c>
      <c r="J53" s="4" t="s">
        <v>502</v>
      </c>
      <c r="K53" s="4" t="s">
        <v>503</v>
      </c>
      <c r="L53" s="4">
        <v>1</v>
      </c>
      <c r="M53" s="4"/>
      <c r="N53" s="4" t="s">
        <v>64</v>
      </c>
    </row>
    <row r="54" spans="1:14" ht="14.25" customHeight="1">
      <c r="A54" s="4" t="s">
        <v>952</v>
      </c>
      <c r="B54" s="25" t="str">
        <f t="shared" si="0"/>
        <v>Конденсатор 0603C ёмкостью 3,3 н 5%, 50 В, NP0</v>
      </c>
      <c r="C54" s="4" t="s">
        <v>496</v>
      </c>
      <c r="D54" s="4" t="s">
        <v>500</v>
      </c>
      <c r="E54" s="4" t="s">
        <v>496</v>
      </c>
      <c r="F54" s="4" t="s">
        <v>619</v>
      </c>
      <c r="G54" s="26" t="s">
        <v>921</v>
      </c>
      <c r="H54" s="4">
        <v>50</v>
      </c>
      <c r="I54" s="4" t="s">
        <v>923</v>
      </c>
      <c r="J54" s="4" t="s">
        <v>502</v>
      </c>
      <c r="K54" s="4" t="s">
        <v>503</v>
      </c>
      <c r="L54" s="4" t="s">
        <v>394</v>
      </c>
      <c r="M54" s="4"/>
      <c r="N54" s="4" t="s">
        <v>64</v>
      </c>
    </row>
    <row r="55" spans="1:14" ht="14.25" customHeight="1">
      <c r="A55" s="4" t="s">
        <v>954</v>
      </c>
      <c r="B55" s="25" t="str">
        <f t="shared" si="0"/>
        <v>Конденсатор 0603C ёмкостью 10 мк 10%, 10 В, X7R</v>
      </c>
      <c r="C55" s="4" t="s">
        <v>496</v>
      </c>
      <c r="D55" s="4" t="s">
        <v>500</v>
      </c>
      <c r="E55" s="4" t="s">
        <v>496</v>
      </c>
      <c r="F55" s="4" t="s">
        <v>611</v>
      </c>
      <c r="G55" s="26" t="s">
        <v>544</v>
      </c>
      <c r="H55" s="4" t="s">
        <v>84</v>
      </c>
      <c r="I55" s="4" t="s">
        <v>547</v>
      </c>
      <c r="J55" s="4" t="s">
        <v>890</v>
      </c>
      <c r="K55" s="4" t="s">
        <v>503</v>
      </c>
      <c r="L55" s="4">
        <v>10000</v>
      </c>
      <c r="M55" s="58" t="s">
        <v>960</v>
      </c>
      <c r="N55" s="4" t="s">
        <v>64</v>
      </c>
    </row>
    <row r="56" spans="1:14" ht="14.25" customHeight="1">
      <c r="A56" s="4" t="s">
        <v>962</v>
      </c>
      <c r="B56" s="25" t="str">
        <f t="shared" si="0"/>
        <v>Конденсатор 0603C ёмкостью 12 п 5%, 50 В, NP0</v>
      </c>
      <c r="C56" s="4" t="s">
        <v>496</v>
      </c>
      <c r="D56" s="4" t="s">
        <v>500</v>
      </c>
      <c r="E56" s="4" t="s">
        <v>496</v>
      </c>
      <c r="F56" s="4" t="s">
        <v>963</v>
      </c>
      <c r="G56" s="26" t="s">
        <v>921</v>
      </c>
      <c r="H56" s="4">
        <v>50</v>
      </c>
      <c r="I56" s="4" t="s">
        <v>923</v>
      </c>
      <c r="J56" s="4" t="s">
        <v>502</v>
      </c>
      <c r="K56" s="4" t="s">
        <v>503</v>
      </c>
      <c r="L56" s="4" t="s">
        <v>965</v>
      </c>
      <c r="M56" s="4"/>
      <c r="N56" s="4" t="s">
        <v>64</v>
      </c>
    </row>
    <row r="57" spans="1:14" ht="14.25" customHeight="1">
      <c r="A57" s="4" t="s">
        <v>967</v>
      </c>
      <c r="B57" s="6" t="str">
        <f t="shared" si="0"/>
        <v>Конденсатор 1206C ёмкостью 100 п 5%, 630 В, NP0</v>
      </c>
      <c r="C57" s="4" t="s">
        <v>496</v>
      </c>
      <c r="D57" s="4" t="s">
        <v>500</v>
      </c>
      <c r="E57" s="4" t="s">
        <v>496</v>
      </c>
      <c r="F57" s="4" t="s">
        <v>551</v>
      </c>
      <c r="G57" s="26" t="s">
        <v>921</v>
      </c>
      <c r="H57" s="4" t="s">
        <v>969</v>
      </c>
      <c r="I57" s="4" t="s">
        <v>923</v>
      </c>
      <c r="J57" s="4" t="s">
        <v>502</v>
      </c>
      <c r="K57" s="4" t="s">
        <v>875</v>
      </c>
      <c r="L57" s="4" t="s">
        <v>554</v>
      </c>
      <c r="M57" s="4"/>
      <c r="N57" s="4" t="s">
        <v>64</v>
      </c>
    </row>
    <row r="58" spans="8:8" ht="14.25" customHeight="1">
      <c r="H58" s="11"/>
    </row>
    <row r="59" spans="8:8" ht="14.25" customHeight="1">
      <c r="H59" s="11"/>
    </row>
    <row r="60" spans="8:8" ht="14.25" customHeight="1">
      <c r="H60" s="11"/>
    </row>
    <row r="61" spans="8:8" ht="14.25" customHeight="1">
      <c r="H61" s="11"/>
    </row>
    <row r="62" spans="8:8" ht="14.25" customHeight="1">
      <c r="H62" s="11"/>
    </row>
    <row r="63" spans="8:8" ht="14.25" customHeight="1">
      <c r="H63" s="11"/>
    </row>
    <row r="64" spans="8:8" ht="14.25" customHeight="1">
      <c r="H64" s="11"/>
    </row>
    <row r="65" spans="8:8" ht="14.25" customHeight="1">
      <c r="H65" s="11"/>
    </row>
    <row r="66" spans="8:8" ht="14.25" customHeight="1">
      <c r="H66" s="11"/>
    </row>
    <row r="67" spans="8:8" ht="14.25" customHeight="1">
      <c r="H67" s="11"/>
    </row>
    <row r="68" spans="8:8" ht="14.25" customHeight="1">
      <c r="H68" s="11"/>
    </row>
    <row r="69" spans="8:8" ht="14.25" customHeight="1">
      <c r="H69" s="11"/>
    </row>
    <row r="70" spans="8:8" ht="14.25" customHeight="1">
      <c r="H70" s="11"/>
    </row>
    <row r="71" spans="8:8" ht="14.25" customHeight="1">
      <c r="H71" s="11"/>
    </row>
    <row r="72" spans="8:8" ht="14.25" customHeight="1">
      <c r="H72" s="11"/>
    </row>
    <row r="73" spans="8:8" ht="14.25" customHeight="1">
      <c r="H73" s="11"/>
    </row>
    <row r="74" spans="8:8" ht="14.25" customHeight="1">
      <c r="H74" s="11"/>
    </row>
    <row r="75" spans="8:8" ht="14.25" customHeight="1">
      <c r="H75" s="11"/>
    </row>
    <row r="76" spans="8:8" ht="14.25" customHeight="1">
      <c r="H76" s="11"/>
    </row>
    <row r="77" spans="8:8" ht="14.25" customHeight="1">
      <c r="H77" s="11"/>
    </row>
    <row r="78" spans="8:8" ht="14.25" customHeight="1">
      <c r="H78" s="11"/>
    </row>
    <row r="79" spans="8:8" ht="14.25" customHeight="1">
      <c r="H79" s="11"/>
    </row>
    <row r="80" spans="8:8" ht="14.25" customHeight="1">
      <c r="H80" s="11"/>
    </row>
    <row r="81" spans="8:8" ht="14.25" customHeight="1">
      <c r="H81" s="11"/>
    </row>
    <row r="82" spans="8:8" ht="14.25" customHeight="1">
      <c r="H82" s="11"/>
    </row>
    <row r="83" spans="8:8" ht="14.25" customHeight="1">
      <c r="H83" s="11"/>
    </row>
    <row r="84" spans="8:8" ht="14.25" customHeight="1">
      <c r="H84" s="11"/>
    </row>
    <row r="85" spans="8:8" ht="14.25" customHeight="1">
      <c r="H85" s="11"/>
    </row>
    <row r="86" spans="8:8" ht="14.25" customHeight="1">
      <c r="H86" s="11"/>
    </row>
    <row r="87" spans="8:8" ht="14.25" customHeight="1">
      <c r="H87" s="11"/>
    </row>
    <row r="88" spans="8:8" ht="14.25" customHeight="1">
      <c r="H88" s="11"/>
    </row>
    <row r="89" spans="8:8" ht="14.25" customHeight="1">
      <c r="H89" s="11"/>
    </row>
    <row r="90" spans="8:8" ht="14.25" customHeight="1">
      <c r="H90" s="11"/>
    </row>
    <row r="91" spans="8:8" ht="14.25" customHeight="1">
      <c r="H91" s="11"/>
    </row>
    <row r="92" spans="8:8" ht="14.25" customHeight="1">
      <c r="H92" s="11"/>
    </row>
    <row r="93" spans="8:8" ht="14.25" customHeight="1">
      <c r="H93" s="11"/>
    </row>
    <row r="94" spans="8:8" ht="14.25" customHeight="1">
      <c r="H94" s="11"/>
    </row>
    <row r="95" spans="8:8" ht="14.25" customHeight="1">
      <c r="H95" s="11"/>
    </row>
    <row r="96" spans="8:8" ht="14.25" customHeight="1">
      <c r="H96" s="11"/>
    </row>
    <row r="97" spans="8:8" ht="14.25" customHeight="1">
      <c r="H97" s="11"/>
    </row>
    <row r="98" spans="8:8" ht="14.25" customHeight="1">
      <c r="H98" s="11"/>
    </row>
    <row r="99" spans="8:8" ht="14.25" customHeight="1">
      <c r="H99" s="11"/>
    </row>
    <row r="100" spans="8:8" ht="14.25" customHeight="1">
      <c r="H100" s="11"/>
    </row>
    <row r="101" spans="8:8" ht="14.25" customHeight="1">
      <c r="H101" s="11"/>
    </row>
    <row r="102" spans="8:8" ht="14.25" customHeight="1">
      <c r="H102" s="11"/>
    </row>
    <row r="103" spans="8:8" ht="14.25" customHeight="1">
      <c r="H103" s="11"/>
    </row>
    <row r="104" spans="8:8" ht="14.25" customHeight="1">
      <c r="H104" s="11"/>
    </row>
    <row r="105" spans="8:8" ht="14.25" customHeight="1">
      <c r="H105" s="11"/>
    </row>
    <row r="106" spans="8:8" ht="14.25" customHeight="1">
      <c r="H106" s="11"/>
    </row>
    <row r="107" spans="8:8" ht="14.25" customHeight="1">
      <c r="H107" s="11"/>
    </row>
    <row r="108" spans="8:8" ht="14.25" customHeight="1">
      <c r="H108" s="11"/>
    </row>
    <row r="109" spans="8:8" ht="14.25" customHeight="1">
      <c r="H109" s="11"/>
    </row>
    <row r="110" spans="8:8" ht="14.25" customHeight="1">
      <c r="H110" s="11"/>
    </row>
    <row r="111" spans="8:8" ht="14.25" customHeight="1">
      <c r="H111" s="11"/>
    </row>
    <row r="112" spans="8:8" ht="14.25" customHeight="1">
      <c r="H112" s="11"/>
    </row>
    <row r="113" spans="8:8" ht="14.25" customHeight="1">
      <c r="H113" s="11"/>
    </row>
    <row r="114" spans="8:8" ht="14.25" customHeight="1">
      <c r="H114" s="11"/>
    </row>
    <row r="115" spans="8:8" ht="14.25" customHeight="1">
      <c r="H115" s="11"/>
    </row>
    <row r="116" spans="8:8" ht="14.25" customHeight="1">
      <c r="H116" s="11"/>
    </row>
    <row r="117" spans="8:8" ht="14.25" customHeight="1">
      <c r="H117" s="11"/>
    </row>
    <row r="118" spans="8:8" ht="14.25" customHeight="1">
      <c r="H118" s="11"/>
    </row>
    <row r="119" spans="8:8" ht="14.25" customHeight="1">
      <c r="H119" s="11"/>
    </row>
    <row r="120" spans="8:8" ht="14.25" customHeight="1">
      <c r="H120" s="11"/>
    </row>
    <row r="121" spans="8:8" ht="14.25" customHeight="1">
      <c r="H121" s="11"/>
    </row>
    <row r="122" spans="8:8" ht="14.25" customHeight="1">
      <c r="H122" s="11"/>
    </row>
    <row r="123" spans="8:8" ht="14.25" customHeight="1">
      <c r="H123" s="11"/>
    </row>
    <row r="124" spans="8:8" ht="14.25" customHeight="1">
      <c r="H124" s="11"/>
    </row>
    <row r="125" spans="8:8" ht="14.25" customHeight="1">
      <c r="H125" s="11"/>
    </row>
    <row r="126" spans="8:8" ht="14.25" customHeight="1">
      <c r="H126" s="11"/>
    </row>
    <row r="127" spans="8:8" ht="14.25" customHeight="1">
      <c r="H127" s="11"/>
    </row>
    <row r="128" spans="8:8" ht="14.25" customHeight="1">
      <c r="H128" s="11"/>
    </row>
    <row r="129" spans="8:8" ht="14.25" customHeight="1">
      <c r="H129" s="11"/>
    </row>
    <row r="130" spans="8:8" ht="14.25" customHeight="1">
      <c r="H130" s="11"/>
    </row>
    <row r="131" spans="8:8" ht="14.25" customHeight="1">
      <c r="H131" s="11"/>
    </row>
    <row r="132" spans="8:8" ht="14.25" customHeight="1">
      <c r="H132" s="11"/>
    </row>
    <row r="133" spans="8:8" ht="14.25" customHeight="1">
      <c r="H133" s="11"/>
    </row>
    <row r="134" spans="8:8" ht="14.25" customHeight="1">
      <c r="H134" s="11"/>
    </row>
    <row r="135" spans="8:8" ht="14.25" customHeight="1">
      <c r="H135" s="11"/>
    </row>
    <row r="136" spans="8:8" ht="14.25" customHeight="1">
      <c r="H136" s="11"/>
    </row>
    <row r="137" spans="8:8" ht="14.25" customHeight="1">
      <c r="H137" s="11"/>
    </row>
    <row r="138" spans="8:8" ht="14.25" customHeight="1">
      <c r="H138" s="11"/>
    </row>
    <row r="139" spans="8:8" ht="14.25" customHeight="1">
      <c r="H139" s="11"/>
    </row>
    <row r="140" spans="8:8" ht="14.25" customHeight="1">
      <c r="H140" s="11"/>
    </row>
    <row r="141" spans="8:8" ht="14.25" customHeight="1">
      <c r="H141" s="11"/>
    </row>
    <row r="142" spans="8:8" ht="14.25" customHeight="1">
      <c r="H142" s="11"/>
    </row>
    <row r="143" spans="8:8" ht="14.25" customHeight="1">
      <c r="H143" s="11"/>
    </row>
    <row r="144" spans="8:8" ht="14.25" customHeight="1">
      <c r="H144" s="11"/>
    </row>
    <row r="145" spans="8:8" ht="14.25" customHeight="1">
      <c r="H145" s="11"/>
    </row>
    <row r="146" spans="8:8" ht="14.25" customHeight="1">
      <c r="H146" s="11"/>
    </row>
    <row r="147" spans="8:8" ht="14.25" customHeight="1">
      <c r="H147" s="11"/>
    </row>
    <row r="148" spans="8:8" ht="14.25" customHeight="1">
      <c r="H148" s="11"/>
    </row>
    <row r="149" spans="8:8" ht="14.25" customHeight="1">
      <c r="H149" s="11"/>
    </row>
    <row r="150" spans="8:8" ht="14.25" customHeight="1">
      <c r="H150" s="11"/>
    </row>
    <row r="151" spans="8:8" ht="14.25" customHeight="1">
      <c r="H151" s="11"/>
    </row>
    <row r="152" spans="8:8" ht="14.25" customHeight="1">
      <c r="H152" s="11"/>
    </row>
    <row r="153" spans="8:8" ht="14.25" customHeight="1">
      <c r="H153" s="11"/>
    </row>
    <row r="154" spans="8:8" ht="14.25" customHeight="1">
      <c r="H154" s="11"/>
    </row>
    <row r="155" spans="8:8" ht="14.25" customHeight="1">
      <c r="H155" s="11"/>
    </row>
    <row r="156" spans="8:8" ht="14.25" customHeight="1">
      <c r="H156" s="11"/>
    </row>
    <row r="157" spans="8:8" ht="14.25" customHeight="1">
      <c r="H157" s="11"/>
    </row>
    <row r="158" spans="8:8" ht="14.25" customHeight="1">
      <c r="H158" s="11"/>
    </row>
    <row r="159" spans="8:8" ht="14.25" customHeight="1">
      <c r="H159" s="11"/>
    </row>
    <row r="160" spans="8:8" ht="14.25" customHeight="1">
      <c r="H160" s="11"/>
    </row>
    <row r="161" spans="8:8" ht="14.25" customHeight="1">
      <c r="H161" s="11"/>
    </row>
    <row r="162" spans="8:8" ht="14.25" customHeight="1">
      <c r="H162" s="11"/>
    </row>
    <row r="163" spans="8:8" ht="14.25" customHeight="1">
      <c r="H163" s="11"/>
    </row>
    <row r="164" spans="8:8" ht="14.25" customHeight="1">
      <c r="H164" s="11"/>
    </row>
    <row r="165" spans="8:8" ht="14.25" customHeight="1">
      <c r="H165" s="11"/>
    </row>
    <row r="166" spans="8:8" ht="14.25" customHeight="1">
      <c r="H166" s="11"/>
    </row>
    <row r="167" spans="8:8" ht="14.25" customHeight="1">
      <c r="H167" s="11"/>
    </row>
    <row r="168" spans="8:8" ht="14.25" customHeight="1">
      <c r="H168" s="11"/>
    </row>
    <row r="169" spans="8:8" ht="14.25" customHeight="1">
      <c r="H169" s="11"/>
    </row>
    <row r="170" spans="8:8" ht="14.25" customHeight="1">
      <c r="H170" s="11"/>
    </row>
    <row r="171" spans="8:8" ht="14.25" customHeight="1">
      <c r="H171" s="11"/>
    </row>
    <row r="172" spans="8:8" ht="14.25" customHeight="1">
      <c r="H172" s="11"/>
    </row>
    <row r="173" spans="8:8" ht="14.25" customHeight="1">
      <c r="H173" s="11"/>
    </row>
    <row r="174" spans="8:8" ht="14.25" customHeight="1">
      <c r="H174" s="11"/>
    </row>
    <row r="175" spans="8:8" ht="14.25" customHeight="1">
      <c r="H175" s="11"/>
    </row>
    <row r="176" spans="8:8" ht="14.25" customHeight="1">
      <c r="H176" s="11"/>
    </row>
    <row r="177" spans="8:8" ht="14.25" customHeight="1">
      <c r="H177" s="11"/>
    </row>
    <row r="178" spans="8:8" ht="14.25" customHeight="1">
      <c r="H178" s="11"/>
    </row>
    <row r="179" spans="8:8" ht="14.25" customHeight="1">
      <c r="H179" s="11"/>
    </row>
    <row r="180" spans="8:8" ht="14.25" customHeight="1">
      <c r="H180" s="11"/>
    </row>
    <row r="181" spans="8:8" ht="14.25" customHeight="1">
      <c r="H181" s="11"/>
    </row>
    <row r="182" spans="8:8" ht="14.25" customHeight="1">
      <c r="H182" s="11"/>
    </row>
    <row r="183" spans="8:8" ht="14.25" customHeight="1">
      <c r="H183" s="11"/>
    </row>
    <row r="184" spans="8:8" ht="14.25" customHeight="1">
      <c r="H184" s="11"/>
    </row>
    <row r="185" spans="8:8" ht="14.25" customHeight="1">
      <c r="H185" s="11"/>
    </row>
    <row r="186" spans="8:8" ht="14.25" customHeight="1">
      <c r="H186" s="11"/>
    </row>
    <row r="187" spans="8:8" ht="14.25" customHeight="1">
      <c r="H187" s="11"/>
    </row>
    <row r="188" spans="8:8" ht="14.25" customHeight="1">
      <c r="H188" s="11"/>
    </row>
    <row r="189" spans="8:8" ht="14.25" customHeight="1">
      <c r="H189" s="11"/>
    </row>
    <row r="190" spans="8:8" ht="14.25" customHeight="1">
      <c r="H190" s="11"/>
    </row>
    <row r="191" spans="8:8" ht="14.25" customHeight="1">
      <c r="H191" s="11"/>
    </row>
    <row r="192" spans="8:8" ht="14.25" customHeight="1">
      <c r="H192" s="11"/>
    </row>
    <row r="193" spans="8:8" ht="14.25" customHeight="1">
      <c r="H193" s="11"/>
    </row>
    <row r="194" spans="8:8" ht="14.25" customHeight="1">
      <c r="H194" s="11"/>
    </row>
    <row r="195" spans="8:8" ht="14.25" customHeight="1">
      <c r="H195" s="11"/>
    </row>
    <row r="196" spans="8:8" ht="14.25" customHeight="1">
      <c r="H196" s="11"/>
    </row>
    <row r="197" spans="8:8" ht="14.25" customHeight="1">
      <c r="H197" s="11"/>
    </row>
    <row r="198" spans="8:8" ht="14.25" customHeight="1">
      <c r="H198" s="11"/>
    </row>
    <row r="199" spans="8:8" ht="14.25" customHeight="1">
      <c r="H199" s="11"/>
    </row>
    <row r="200" spans="8:8" ht="14.25" customHeight="1">
      <c r="H200" s="11"/>
    </row>
    <row r="201" spans="8:8" ht="14.25" customHeight="1">
      <c r="H201" s="11"/>
    </row>
    <row r="202" spans="8:8" ht="14.25" customHeight="1">
      <c r="H202" s="11"/>
    </row>
    <row r="203" spans="8:8" ht="14.25" customHeight="1">
      <c r="H203" s="11"/>
    </row>
    <row r="204" spans="8:8" ht="14.25" customHeight="1">
      <c r="H204" s="11"/>
    </row>
    <row r="205" spans="8:8" ht="14.25" customHeight="1">
      <c r="H205" s="11"/>
    </row>
    <row r="206" spans="8:8" ht="14.25" customHeight="1">
      <c r="H206" s="11"/>
    </row>
    <row r="207" spans="8:8" ht="14.25" customHeight="1">
      <c r="H207" s="11"/>
    </row>
    <row r="208" spans="8:8" ht="14.25" customHeight="1">
      <c r="H208" s="11"/>
    </row>
    <row r="209" spans="8:8" ht="14.25" customHeight="1">
      <c r="H209" s="11"/>
    </row>
    <row r="210" spans="8:8" ht="14.25" customHeight="1">
      <c r="H210" s="11"/>
    </row>
    <row r="211" spans="8:8" ht="14.25" customHeight="1">
      <c r="H211" s="11"/>
    </row>
    <row r="212" spans="8:8" ht="14.25" customHeight="1">
      <c r="H212" s="11"/>
    </row>
    <row r="213" spans="8:8" ht="14.25" customHeight="1">
      <c r="H213" s="11"/>
    </row>
    <row r="214" spans="8:8" ht="14.25" customHeight="1">
      <c r="H214" s="11"/>
    </row>
    <row r="215" spans="8:8" ht="14.25" customHeight="1">
      <c r="H215" s="11"/>
    </row>
    <row r="216" spans="8:8" ht="14.25" customHeight="1">
      <c r="H216" s="11"/>
    </row>
    <row r="217" spans="8:8" ht="14.25" customHeight="1">
      <c r="H217" s="11"/>
    </row>
    <row r="218" spans="8:8" ht="14.25" customHeight="1">
      <c r="H218" s="11"/>
    </row>
    <row r="219" spans="8:8" ht="14.25" customHeight="1">
      <c r="H219" s="11"/>
    </row>
    <row r="220" spans="8:8" ht="14.25" customHeight="1">
      <c r="H220" s="11"/>
    </row>
    <row r="221" spans="8:8" ht="14.25" customHeight="1">
      <c r="H221" s="11"/>
    </row>
    <row r="222" spans="8:8" ht="14.25" customHeight="1">
      <c r="H222" s="11"/>
    </row>
    <row r="223" spans="8:8" ht="14.25" customHeight="1">
      <c r="H223" s="11"/>
    </row>
    <row r="224" spans="8:8" ht="14.25" customHeight="1">
      <c r="H224" s="11"/>
    </row>
    <row r="225" spans="8:8" ht="14.25" customHeight="1">
      <c r="H225" s="11"/>
    </row>
    <row r="226" spans="8:8" ht="14.25" customHeight="1">
      <c r="H226" s="11"/>
    </row>
    <row r="227" spans="8:8" ht="14.25" customHeight="1">
      <c r="H227" s="11"/>
    </row>
    <row r="228" spans="8:8" ht="14.25" customHeight="1">
      <c r="H228" s="11"/>
    </row>
    <row r="229" spans="8:8" ht="14.25" customHeight="1">
      <c r="H229" s="11"/>
    </row>
    <row r="230" spans="8:8" ht="14.25" customHeight="1">
      <c r="H230" s="11"/>
    </row>
    <row r="231" spans="8:8" ht="14.25" customHeight="1">
      <c r="H231" s="11"/>
    </row>
    <row r="232" spans="8:8" ht="14.25" customHeight="1">
      <c r="H232" s="11"/>
    </row>
    <row r="233" spans="8:8" ht="14.25" customHeight="1">
      <c r="H233" s="11"/>
    </row>
    <row r="234" spans="8:8" ht="14.25" customHeight="1">
      <c r="H234" s="11"/>
    </row>
    <row r="235" spans="8:8" ht="14.25" customHeight="1">
      <c r="H235" s="11"/>
    </row>
    <row r="236" spans="8:8" ht="14.25" customHeight="1">
      <c r="H236" s="11"/>
    </row>
    <row r="237" spans="8:8" ht="14.25" customHeight="1">
      <c r="H237" s="11"/>
    </row>
    <row r="238" spans="8:8" ht="14.25" customHeight="1">
      <c r="H238" s="11"/>
    </row>
    <row r="239" spans="8:8" ht="14.25" customHeight="1">
      <c r="H239" s="11"/>
    </row>
    <row r="240" spans="8:8" ht="14.25" customHeight="1">
      <c r="H240" s="11"/>
    </row>
    <row r="241" spans="8:8" ht="14.25" customHeight="1">
      <c r="H241" s="11"/>
    </row>
    <row r="242" spans="8:8" ht="14.25" customHeight="1">
      <c r="H242" s="11"/>
    </row>
    <row r="243" spans="8:8" ht="14.25" customHeight="1">
      <c r="H243" s="11"/>
    </row>
    <row r="244" spans="8:8" ht="14.25" customHeight="1">
      <c r="H244" s="11"/>
    </row>
    <row r="245" spans="8:8" ht="14.25" customHeight="1">
      <c r="H245" s="11"/>
    </row>
    <row r="246" spans="8:8" ht="14.25" customHeight="1">
      <c r="H246" s="11"/>
    </row>
    <row r="247" spans="8:8" ht="14.25" customHeight="1">
      <c r="H247" s="11"/>
    </row>
    <row r="248" spans="8:8" ht="14.25" customHeight="1">
      <c r="H248" s="11"/>
    </row>
    <row r="249" spans="8:8" ht="14.25" customHeight="1">
      <c r="H249" s="11"/>
    </row>
    <row r="250" spans="8:8" ht="14.25" customHeight="1">
      <c r="H250" s="11"/>
    </row>
    <row r="251" spans="8:8" ht="14.25" customHeight="1">
      <c r="H251" s="11"/>
    </row>
    <row r="252" spans="8:8" ht="14.25" customHeight="1">
      <c r="H252" s="11"/>
    </row>
    <row r="253" spans="8:8" ht="14.25" customHeight="1">
      <c r="H253" s="11"/>
    </row>
    <row r="254" spans="8:8" ht="14.25" customHeight="1">
      <c r="H254" s="11"/>
    </row>
    <row r="255" spans="8:8" ht="14.25" customHeight="1">
      <c r="H255" s="11"/>
    </row>
    <row r="256" spans="8:8" ht="14.25" customHeight="1">
      <c r="H256" s="11"/>
    </row>
    <row r="257" spans="8:8" ht="14.25" customHeight="1">
      <c r="H257" s="11"/>
    </row>
    <row r="258" spans="8:8" ht="14.25" customHeight="1">
      <c r="H258" s="11"/>
    </row>
    <row r="259" spans="8:8" ht="14.25" customHeight="1">
      <c r="H259" s="11"/>
    </row>
    <row r="260" spans="8:8" ht="14.25" customHeight="1">
      <c r="H260" s="11"/>
    </row>
    <row r="261" spans="8:8" ht="14.25" customHeight="1">
      <c r="H261" s="11"/>
    </row>
    <row r="262" spans="8:8" ht="14.25" customHeight="1">
      <c r="H262" s="11"/>
    </row>
    <row r="263" spans="8:8" ht="14.25" customHeight="1">
      <c r="H263" s="11"/>
    </row>
    <row r="264" spans="8:8" ht="14.25" customHeight="1">
      <c r="H264" s="11"/>
    </row>
    <row r="265" spans="8:8" ht="14.25" customHeight="1">
      <c r="H265" s="11"/>
    </row>
    <row r="266" spans="8:8" ht="14.25" customHeight="1">
      <c r="H266" s="11"/>
    </row>
    <row r="267" spans="8:8" ht="14.25" customHeight="1">
      <c r="H267" s="11"/>
    </row>
    <row r="268" spans="8:8" ht="14.25" customHeight="1">
      <c r="H268" s="11"/>
    </row>
    <row r="269" spans="8:8" ht="14.25" customHeight="1">
      <c r="H269" s="11"/>
    </row>
    <row r="270" spans="8:8" ht="14.25" customHeight="1">
      <c r="H270" s="11"/>
    </row>
    <row r="271" spans="8:8" ht="14.25" customHeight="1">
      <c r="H271" s="11"/>
    </row>
    <row r="272" spans="8:8" ht="14.25" customHeight="1">
      <c r="H272" s="11"/>
    </row>
    <row r="273" spans="8:8" ht="14.25" customHeight="1">
      <c r="H273" s="11"/>
    </row>
    <row r="274" spans="8:8" ht="14.25" customHeight="1">
      <c r="H274" s="11"/>
    </row>
    <row r="275" spans="8:8" ht="14.25" customHeight="1">
      <c r="H275" s="11"/>
    </row>
    <row r="276" spans="8:8" ht="14.25" customHeight="1">
      <c r="H276" s="11"/>
    </row>
    <row r="277" spans="8:8" ht="14.25" customHeight="1">
      <c r="H277" s="11"/>
    </row>
    <row r="278" spans="8:8" ht="14.25" customHeight="1">
      <c r="H278" s="11"/>
    </row>
    <row r="279" spans="8:8" ht="14.25" customHeight="1">
      <c r="H279" s="11"/>
    </row>
    <row r="280" spans="8:8" ht="14.25" customHeight="1">
      <c r="H280" s="11"/>
    </row>
    <row r="281" spans="8:8" ht="14.25" customHeight="1">
      <c r="H281" s="11"/>
    </row>
    <row r="282" spans="8:8" ht="14.25" customHeight="1">
      <c r="H282" s="11"/>
    </row>
    <row r="283" spans="8:8" ht="14.25" customHeight="1">
      <c r="H283" s="11"/>
    </row>
    <row r="284" spans="8:8" ht="14.25" customHeight="1">
      <c r="H284" s="11"/>
    </row>
    <row r="285" spans="8:8" ht="14.25" customHeight="1">
      <c r="H285" s="11"/>
    </row>
    <row r="286" spans="8:8" ht="14.25" customHeight="1">
      <c r="H286" s="11"/>
    </row>
    <row r="287" spans="8:8" ht="14.25" customHeight="1">
      <c r="H287" s="11"/>
    </row>
    <row r="288" spans="8:8" ht="14.25" customHeight="1">
      <c r="H288" s="11"/>
    </row>
    <row r="289" spans="8:8" ht="14.25" customHeight="1">
      <c r="H289" s="11"/>
    </row>
    <row r="290" spans="8:8" ht="14.25" customHeight="1">
      <c r="H290" s="11"/>
    </row>
    <row r="291" spans="8:8" ht="14.25" customHeight="1">
      <c r="H291" s="11"/>
    </row>
    <row r="292" spans="8:8" ht="14.25" customHeight="1">
      <c r="H292" s="11"/>
    </row>
    <row r="293" spans="8:8" ht="14.25" customHeight="1">
      <c r="H293" s="11"/>
    </row>
    <row r="294" spans="8:8" ht="14.25" customHeight="1">
      <c r="H294" s="11"/>
    </row>
    <row r="295" spans="8:8" ht="14.25" customHeight="1">
      <c r="H295" s="11"/>
    </row>
    <row r="296" spans="8:8" ht="14.25" customHeight="1">
      <c r="H296" s="11"/>
    </row>
    <row r="297" spans="8:8" ht="14.25" customHeight="1">
      <c r="H297" s="11"/>
    </row>
    <row r="298" spans="8:8" ht="14.25" customHeight="1">
      <c r="H298" s="11"/>
    </row>
    <row r="299" spans="8:8" ht="14.25" customHeight="1">
      <c r="H299" s="11"/>
    </row>
    <row r="300" spans="8:8" ht="14.25" customHeight="1">
      <c r="H300" s="11"/>
    </row>
    <row r="301" spans="8:8" ht="14.25" customHeight="1">
      <c r="H301" s="11"/>
    </row>
    <row r="302" spans="8:8" ht="14.25" customHeight="1">
      <c r="H302" s="11"/>
    </row>
    <row r="303" spans="8:8" ht="14.25" customHeight="1">
      <c r="H303" s="11"/>
    </row>
    <row r="304" spans="8:8" ht="14.25" customHeight="1">
      <c r="H304" s="11"/>
    </row>
    <row r="305" spans="8:8" ht="14.25" customHeight="1">
      <c r="H305" s="11"/>
    </row>
    <row r="306" spans="8:8" ht="14.25" customHeight="1">
      <c r="H306" s="11"/>
    </row>
    <row r="307" spans="8:8" ht="14.25" customHeight="1">
      <c r="H307" s="11"/>
    </row>
    <row r="308" spans="8:8" ht="14.25" customHeight="1">
      <c r="H308" s="11"/>
    </row>
    <row r="309" spans="8:8" ht="14.25" customHeight="1">
      <c r="H309" s="11"/>
    </row>
    <row r="310" spans="8:8" ht="14.25" customHeight="1">
      <c r="H310" s="11"/>
    </row>
    <row r="311" spans="8:8" ht="14.25" customHeight="1">
      <c r="H311" s="11"/>
    </row>
    <row r="312" spans="8:8" ht="14.25" customHeight="1">
      <c r="H312" s="11"/>
    </row>
    <row r="313" spans="8:8" ht="14.25" customHeight="1">
      <c r="H313" s="11"/>
    </row>
    <row r="314" spans="8:8" ht="14.25" customHeight="1">
      <c r="H314" s="11"/>
    </row>
    <row r="315" spans="8:8" ht="14.25" customHeight="1">
      <c r="H315" s="11"/>
    </row>
    <row r="316" spans="8:8" ht="14.25" customHeight="1">
      <c r="H316" s="11"/>
    </row>
    <row r="317" spans="8:8" ht="14.25" customHeight="1">
      <c r="H317" s="11"/>
    </row>
    <row r="318" spans="8:8" ht="14.25" customHeight="1">
      <c r="H318" s="11"/>
    </row>
    <row r="319" spans="8:8" ht="14.25" customHeight="1">
      <c r="H319" s="11"/>
    </row>
    <row r="320" spans="8:8" ht="14.25" customHeight="1">
      <c r="H320" s="11"/>
    </row>
    <row r="321" spans="8:8" ht="14.25" customHeight="1">
      <c r="H321" s="11"/>
    </row>
    <row r="322" spans="8:8" ht="14.25" customHeight="1">
      <c r="H322" s="11"/>
    </row>
    <row r="323" spans="8:8" ht="14.25" customHeight="1">
      <c r="H323" s="11"/>
    </row>
    <row r="324" spans="8:8" ht="14.25" customHeight="1">
      <c r="H324" s="11"/>
    </row>
    <row r="325" spans="8:8" ht="14.25" customHeight="1">
      <c r="H325" s="11"/>
    </row>
    <row r="326" spans="8:8" ht="14.25" customHeight="1">
      <c r="H326" s="11"/>
    </row>
    <row r="327" spans="8:8" ht="14.25" customHeight="1">
      <c r="H327" s="11"/>
    </row>
    <row r="328" spans="8:8" ht="14.25" customHeight="1">
      <c r="H328" s="11"/>
    </row>
    <row r="329" spans="8:8" ht="14.25" customHeight="1">
      <c r="H329" s="11"/>
    </row>
    <row r="330" spans="8:8" ht="14.25" customHeight="1">
      <c r="H330" s="11"/>
    </row>
    <row r="331" spans="8:8" ht="14.25" customHeight="1">
      <c r="H331" s="11"/>
    </row>
    <row r="332" spans="8:8" ht="14.25" customHeight="1">
      <c r="H332" s="11"/>
    </row>
    <row r="333" spans="8:8" ht="14.25" customHeight="1">
      <c r="H333" s="11"/>
    </row>
    <row r="334" spans="8:8" ht="14.25" customHeight="1">
      <c r="H334" s="11"/>
    </row>
    <row r="335" spans="8:8" ht="14.25" customHeight="1">
      <c r="H335" s="11"/>
    </row>
    <row r="336" spans="8:8" ht="14.25" customHeight="1">
      <c r="H336" s="11"/>
    </row>
    <row r="337" spans="8:8" ht="14.25" customHeight="1">
      <c r="H337" s="11"/>
    </row>
    <row r="338" spans="8:8" ht="14.25" customHeight="1">
      <c r="H338" s="11"/>
    </row>
    <row r="339" spans="8:8" ht="14.25" customHeight="1">
      <c r="H339" s="11"/>
    </row>
    <row r="340" spans="8:8" ht="14.25" customHeight="1">
      <c r="H340" s="11"/>
    </row>
    <row r="341" spans="8:8" ht="14.25" customHeight="1">
      <c r="H341" s="11"/>
    </row>
    <row r="342" spans="8:8" ht="14.25" customHeight="1">
      <c r="H342" s="11"/>
    </row>
    <row r="343" spans="8:8" ht="14.25" customHeight="1">
      <c r="H343" s="11"/>
    </row>
    <row r="344" spans="8:8" ht="14.25" customHeight="1">
      <c r="H344" s="11"/>
    </row>
    <row r="345" spans="8:8" ht="14.25" customHeight="1">
      <c r="H345" s="11"/>
    </row>
    <row r="346" spans="8:8" ht="14.25" customHeight="1">
      <c r="H346" s="11"/>
    </row>
    <row r="347" spans="8:8" ht="14.25" customHeight="1">
      <c r="H347" s="11"/>
    </row>
    <row r="348" spans="8:8" ht="14.25" customHeight="1">
      <c r="H348" s="11"/>
    </row>
    <row r="349" spans="8:8" ht="14.25" customHeight="1">
      <c r="H349" s="11"/>
    </row>
    <row r="350" spans="8:8" ht="14.25" customHeight="1">
      <c r="H350" s="11"/>
    </row>
    <row r="351" spans="8:8" ht="14.25" customHeight="1">
      <c r="H351" s="11"/>
    </row>
    <row r="352" spans="8:8" ht="14.25" customHeight="1">
      <c r="H352" s="11"/>
    </row>
    <row r="353" spans="8:8" ht="14.25" customHeight="1">
      <c r="H353" s="11"/>
    </row>
    <row r="354" spans="8:8" ht="14.25" customHeight="1">
      <c r="H354" s="11"/>
    </row>
    <row r="355" spans="8:8" ht="14.25" customHeight="1">
      <c r="H355" s="11"/>
    </row>
    <row r="356" spans="8:8" ht="14.25" customHeight="1">
      <c r="H356" s="11"/>
    </row>
    <row r="357" spans="8:8" ht="14.25" customHeight="1">
      <c r="H357" s="11"/>
    </row>
    <row r="358" spans="8:8" ht="14.25" customHeight="1">
      <c r="H358" s="11"/>
    </row>
    <row r="359" spans="8:8" ht="14.25" customHeight="1">
      <c r="H359" s="11"/>
    </row>
    <row r="360" spans="8:8" ht="14.25" customHeight="1">
      <c r="H360" s="11"/>
    </row>
    <row r="361" spans="8:8" ht="14.25" customHeight="1">
      <c r="H361" s="11"/>
    </row>
    <row r="362" spans="8:8" ht="14.25" customHeight="1">
      <c r="H362" s="11"/>
    </row>
    <row r="363" spans="8:8" ht="14.25" customHeight="1">
      <c r="H363" s="11"/>
    </row>
    <row r="364" spans="8:8" ht="14.25" customHeight="1">
      <c r="H364" s="11"/>
    </row>
    <row r="365" spans="8:8" ht="14.25" customHeight="1">
      <c r="H365" s="11"/>
    </row>
    <row r="366" spans="8:8" ht="14.25" customHeight="1">
      <c r="H366" s="11"/>
    </row>
    <row r="367" spans="8:8" ht="14.25" customHeight="1">
      <c r="H367" s="11"/>
    </row>
    <row r="368" spans="8:8" ht="14.25" customHeight="1">
      <c r="H368" s="11"/>
    </row>
    <row r="369" spans="8:8" ht="14.25" customHeight="1">
      <c r="H369" s="11"/>
    </row>
    <row r="370" spans="8:8" ht="14.25" customHeight="1">
      <c r="H370" s="11"/>
    </row>
    <row r="371" spans="8:8" ht="14.25" customHeight="1">
      <c r="H371" s="11"/>
    </row>
    <row r="372" spans="8:8" ht="14.25" customHeight="1">
      <c r="H372" s="11"/>
    </row>
    <row r="373" spans="8:8" ht="14.25" customHeight="1">
      <c r="H373" s="11"/>
    </row>
    <row r="374" spans="8:8" ht="14.25" customHeight="1">
      <c r="H374" s="11"/>
    </row>
    <row r="375" spans="8:8" ht="14.25" customHeight="1">
      <c r="H375" s="11"/>
    </row>
    <row r="376" spans="8:8" ht="14.25" customHeight="1">
      <c r="H376" s="11"/>
    </row>
    <row r="377" spans="8:8" ht="14.25" customHeight="1">
      <c r="H377" s="11"/>
    </row>
    <row r="378" spans="8:8" ht="14.25" customHeight="1">
      <c r="H378" s="11"/>
    </row>
    <row r="379" spans="8:8" ht="14.25" customHeight="1">
      <c r="H379" s="11"/>
    </row>
    <row r="380" spans="8:8" ht="14.25" customHeight="1">
      <c r="H380" s="11"/>
    </row>
    <row r="381" spans="8:8" ht="14.25" customHeight="1">
      <c r="H381" s="11"/>
    </row>
    <row r="382" spans="8:8" ht="14.25" customHeight="1">
      <c r="H382" s="11"/>
    </row>
    <row r="383" spans="8:8" ht="14.25" customHeight="1">
      <c r="H383" s="11"/>
    </row>
    <row r="384" spans="8:8" ht="14.25" customHeight="1">
      <c r="H384" s="11"/>
    </row>
    <row r="385" spans="8:8" ht="14.25" customHeight="1">
      <c r="H385" s="11"/>
    </row>
    <row r="386" spans="8:8" ht="14.25" customHeight="1">
      <c r="H386" s="11"/>
    </row>
    <row r="387" spans="8:8" ht="14.25" customHeight="1">
      <c r="H387" s="11"/>
    </row>
    <row r="388" spans="8:8" ht="14.25" customHeight="1">
      <c r="H388" s="11"/>
    </row>
    <row r="389" spans="8:8" ht="14.25" customHeight="1">
      <c r="H389" s="11"/>
    </row>
    <row r="390" spans="8:8" ht="14.25" customHeight="1">
      <c r="H390" s="11"/>
    </row>
    <row r="391" spans="8:8" ht="14.25" customHeight="1">
      <c r="H391" s="11"/>
    </row>
    <row r="392" spans="8:8" ht="14.25" customHeight="1">
      <c r="H392" s="11"/>
    </row>
    <row r="393" spans="8:8" ht="14.25" customHeight="1">
      <c r="H393" s="11"/>
    </row>
    <row r="394" spans="8:8" ht="14.25" customHeight="1">
      <c r="H394" s="11"/>
    </row>
    <row r="395" spans="8:8" ht="14.25" customHeight="1">
      <c r="H395" s="11"/>
    </row>
    <row r="396" spans="8:8" ht="14.25" customHeight="1">
      <c r="H396" s="11"/>
    </row>
    <row r="397" spans="8:8" ht="14.25" customHeight="1">
      <c r="H397" s="11"/>
    </row>
    <row r="398" spans="8:8" ht="14.25" customHeight="1">
      <c r="H398" s="11"/>
    </row>
    <row r="399" spans="8:8" ht="14.25" customHeight="1">
      <c r="H399" s="11"/>
    </row>
    <row r="400" spans="8:8" ht="14.25" customHeight="1">
      <c r="H400" s="11"/>
    </row>
    <row r="401" spans="8:8" ht="14.25" customHeight="1">
      <c r="H401" s="11"/>
    </row>
    <row r="402" spans="8:8" ht="14.25" customHeight="1">
      <c r="H402" s="11"/>
    </row>
    <row r="403" spans="8:8" ht="14.25" customHeight="1">
      <c r="H403" s="11"/>
    </row>
    <row r="404" spans="8:8" ht="14.25" customHeight="1">
      <c r="H404" s="11"/>
    </row>
    <row r="405" spans="8:8" ht="14.25" customHeight="1">
      <c r="H405" s="11"/>
    </row>
    <row r="406" spans="8:8" ht="14.25" customHeight="1">
      <c r="H406" s="11"/>
    </row>
    <row r="407" spans="8:8" ht="14.25" customHeight="1">
      <c r="H407" s="11"/>
    </row>
    <row r="408" spans="8:8" ht="14.25" customHeight="1">
      <c r="H408" s="11"/>
    </row>
    <row r="409" spans="8:8" ht="14.25" customHeight="1">
      <c r="H409" s="11"/>
    </row>
    <row r="410" spans="8:8" ht="14.25" customHeight="1">
      <c r="H410" s="11"/>
    </row>
    <row r="411" spans="8:8" ht="14.25" customHeight="1">
      <c r="H411" s="11"/>
    </row>
    <row r="412" spans="8:8" ht="14.25" customHeight="1">
      <c r="H412" s="11"/>
    </row>
    <row r="413" spans="8:8" ht="14.25" customHeight="1">
      <c r="H413" s="11"/>
    </row>
    <row r="414" spans="8:8" ht="14.25" customHeight="1">
      <c r="H414" s="11"/>
    </row>
    <row r="415" spans="8:8" ht="14.25" customHeight="1">
      <c r="H415" s="11"/>
    </row>
    <row r="416" spans="8:8" ht="14.25" customHeight="1">
      <c r="H416" s="11"/>
    </row>
    <row r="417" spans="8:8" ht="14.25" customHeight="1">
      <c r="H417" s="11"/>
    </row>
    <row r="418" spans="8:8" ht="14.25" customHeight="1">
      <c r="H418" s="11"/>
    </row>
    <row r="419" spans="8:8" ht="14.25" customHeight="1">
      <c r="H419" s="11"/>
    </row>
    <row r="420" spans="8:8" ht="14.25" customHeight="1">
      <c r="H420" s="11"/>
    </row>
    <row r="421" spans="8:8" ht="14.25" customHeight="1">
      <c r="H421" s="11"/>
    </row>
    <row r="422" spans="8:8" ht="14.25" customHeight="1">
      <c r="H422" s="11"/>
    </row>
    <row r="423" spans="8:8" ht="14.25" customHeight="1">
      <c r="H423" s="11"/>
    </row>
    <row r="424" spans="8:8" ht="14.25" customHeight="1">
      <c r="H424" s="11"/>
    </row>
    <row r="425" spans="8:8" ht="14.25" customHeight="1">
      <c r="H425" s="11"/>
    </row>
    <row r="426" spans="8:8" ht="14.25" customHeight="1">
      <c r="H426" s="11"/>
    </row>
    <row r="427" spans="8:8" ht="14.25" customHeight="1">
      <c r="H427" s="11"/>
    </row>
    <row r="428" spans="8:8" ht="14.25" customHeight="1">
      <c r="H428" s="11"/>
    </row>
    <row r="429" spans="8:8" ht="14.25" customHeight="1">
      <c r="H429" s="11"/>
    </row>
    <row r="430" spans="8:8" ht="14.25" customHeight="1">
      <c r="H430" s="11"/>
    </row>
    <row r="431" spans="8:8" ht="14.25" customHeight="1">
      <c r="H431" s="11"/>
    </row>
    <row r="432" spans="8:8" ht="14.25" customHeight="1">
      <c r="H432" s="11"/>
    </row>
    <row r="433" spans="8:8" ht="14.25" customHeight="1">
      <c r="H433" s="11"/>
    </row>
    <row r="434" spans="8:8" ht="14.25" customHeight="1">
      <c r="H434" s="11"/>
    </row>
    <row r="435" spans="8:8" ht="14.25" customHeight="1">
      <c r="H435" s="11"/>
    </row>
    <row r="436" spans="8:8" ht="14.25" customHeight="1">
      <c r="H436" s="11"/>
    </row>
    <row r="437" spans="8:8" ht="14.25" customHeight="1">
      <c r="H437" s="11"/>
    </row>
    <row r="438" spans="8:8" ht="14.25" customHeight="1">
      <c r="H438" s="11"/>
    </row>
    <row r="439" spans="8:8" ht="14.25" customHeight="1">
      <c r="H439" s="11"/>
    </row>
    <row r="440" spans="8:8" ht="14.25" customHeight="1">
      <c r="H440" s="11"/>
    </row>
    <row r="441" spans="8:8" ht="14.25" customHeight="1">
      <c r="H441" s="11"/>
    </row>
    <row r="442" spans="8:8" ht="14.25" customHeight="1">
      <c r="H442" s="11"/>
    </row>
    <row r="443" spans="8:8" ht="14.25" customHeight="1">
      <c r="H443" s="11"/>
    </row>
    <row r="444" spans="8:8" ht="14.25" customHeight="1">
      <c r="H444" s="11"/>
    </row>
    <row r="445" spans="8:8" ht="14.25" customHeight="1">
      <c r="H445" s="11"/>
    </row>
    <row r="446" spans="8:8" ht="14.25" customHeight="1">
      <c r="H446" s="11"/>
    </row>
    <row r="447" spans="8:8" ht="14.25" customHeight="1">
      <c r="H447" s="11"/>
    </row>
    <row r="448" spans="8:8" ht="14.25" customHeight="1">
      <c r="H448" s="11"/>
    </row>
    <row r="449" spans="8:8" ht="14.25" customHeight="1">
      <c r="H449" s="11"/>
    </row>
    <row r="450" spans="8:8" ht="14.25" customHeight="1">
      <c r="H450" s="11"/>
    </row>
    <row r="451" spans="8:8" ht="14.25" customHeight="1">
      <c r="H451" s="11"/>
    </row>
    <row r="452" spans="8:8" ht="14.25" customHeight="1">
      <c r="H452" s="11"/>
    </row>
    <row r="453" spans="8:8" ht="14.25" customHeight="1">
      <c r="H453" s="11"/>
    </row>
    <row r="454" spans="8:8" ht="14.25" customHeight="1">
      <c r="H454" s="11"/>
    </row>
    <row r="455" spans="8:8" ht="14.25" customHeight="1">
      <c r="H455" s="11"/>
    </row>
    <row r="456" spans="8:8" ht="14.25" customHeight="1">
      <c r="H456" s="11"/>
    </row>
    <row r="457" spans="8:8" ht="14.25" customHeight="1">
      <c r="H457" s="11"/>
    </row>
    <row r="458" spans="8:8" ht="14.25" customHeight="1">
      <c r="H458" s="11"/>
    </row>
    <row r="459" spans="8:8" ht="14.25" customHeight="1">
      <c r="H459" s="11"/>
    </row>
    <row r="460" spans="8:8" ht="14.25" customHeight="1">
      <c r="H460" s="11"/>
    </row>
    <row r="461" spans="8:8" ht="14.25" customHeight="1">
      <c r="H461" s="11"/>
    </row>
    <row r="462" spans="8:8" ht="14.25" customHeight="1">
      <c r="H462" s="11"/>
    </row>
    <row r="463" spans="8:8" ht="14.25" customHeight="1">
      <c r="H463" s="11"/>
    </row>
    <row r="464" spans="8:8" ht="14.25" customHeight="1">
      <c r="H464" s="11"/>
    </row>
    <row r="465" spans="8:8" ht="14.25" customHeight="1">
      <c r="H465" s="11"/>
    </row>
    <row r="466" spans="8:8" ht="14.25" customHeight="1">
      <c r="H466" s="11"/>
    </row>
    <row r="467" spans="8:8" ht="14.25" customHeight="1">
      <c r="H467" s="11"/>
    </row>
    <row r="468" spans="8:8" ht="14.25" customHeight="1">
      <c r="H468" s="11"/>
    </row>
    <row r="469" spans="8:8" ht="14.25" customHeight="1">
      <c r="H469" s="11"/>
    </row>
    <row r="470" spans="8:8" ht="14.25" customHeight="1">
      <c r="H470" s="11"/>
    </row>
    <row r="471" spans="8:8" ht="14.25" customHeight="1">
      <c r="H471" s="11"/>
    </row>
    <row r="472" spans="8:8" ht="14.25" customHeight="1">
      <c r="H472" s="11"/>
    </row>
    <row r="473" spans="8:8" ht="14.25" customHeight="1">
      <c r="H473" s="11"/>
    </row>
    <row r="474" spans="8:8" ht="14.25" customHeight="1">
      <c r="H474" s="11"/>
    </row>
    <row r="475" spans="8:8" ht="14.25" customHeight="1">
      <c r="H475" s="11"/>
    </row>
    <row r="476" spans="8:8" ht="14.25" customHeight="1">
      <c r="H476" s="11"/>
    </row>
    <row r="477" spans="8:8" ht="14.25" customHeight="1">
      <c r="H477" s="11"/>
    </row>
    <row r="478" spans="8:8" ht="14.25" customHeight="1">
      <c r="H478" s="11"/>
    </row>
    <row r="479" spans="8:8" ht="14.25" customHeight="1">
      <c r="H479" s="11"/>
    </row>
    <row r="480" spans="8:8" ht="14.25" customHeight="1">
      <c r="H480" s="11"/>
    </row>
    <row r="481" spans="8:8" ht="14.25" customHeight="1">
      <c r="H481" s="11"/>
    </row>
    <row r="482" spans="8:8" ht="14.25" customHeight="1">
      <c r="H482" s="11"/>
    </row>
    <row r="483" spans="8:8" ht="14.25" customHeight="1">
      <c r="H483" s="11"/>
    </row>
    <row r="484" spans="8:8" ht="14.25" customHeight="1">
      <c r="H484" s="11"/>
    </row>
    <row r="485" spans="8:8" ht="14.25" customHeight="1">
      <c r="H485" s="11"/>
    </row>
    <row r="486" spans="8:8" ht="14.25" customHeight="1">
      <c r="H486" s="11"/>
    </row>
    <row r="487" spans="8:8" ht="14.25" customHeight="1">
      <c r="H487" s="11"/>
    </row>
    <row r="488" spans="8:8" ht="14.25" customHeight="1">
      <c r="H488" s="11"/>
    </row>
    <row r="489" spans="8:8" ht="14.25" customHeight="1">
      <c r="H489" s="11"/>
    </row>
    <row r="490" spans="8:8" ht="14.25" customHeight="1">
      <c r="H490" s="11"/>
    </row>
    <row r="491" spans="8:8" ht="14.25" customHeight="1">
      <c r="H491" s="11"/>
    </row>
    <row r="492" spans="8:8" ht="14.25" customHeight="1">
      <c r="H492" s="11"/>
    </row>
    <row r="493" spans="8:8" ht="14.25" customHeight="1">
      <c r="H493" s="11"/>
    </row>
    <row r="494" spans="8:8" ht="14.25" customHeight="1">
      <c r="H494" s="11"/>
    </row>
    <row r="495" spans="8:8" ht="14.25" customHeight="1">
      <c r="H495" s="11"/>
    </row>
    <row r="496" spans="8:8" ht="14.25" customHeight="1">
      <c r="H496" s="11"/>
    </row>
    <row r="497" spans="8:8" ht="14.25" customHeight="1">
      <c r="H497" s="11"/>
    </row>
    <row r="498" spans="8:8" ht="14.25" customHeight="1">
      <c r="H498" s="11"/>
    </row>
    <row r="499" spans="8:8" ht="14.25" customHeight="1">
      <c r="H499" s="11"/>
    </row>
    <row r="500" spans="8:8" ht="14.25" customHeight="1">
      <c r="H500" s="11"/>
    </row>
    <row r="501" spans="8:8" ht="14.25" customHeight="1">
      <c r="H501" s="11"/>
    </row>
    <row r="502" spans="8:8" ht="14.25" customHeight="1">
      <c r="H502" s="11"/>
    </row>
    <row r="503" spans="8:8" ht="14.25" customHeight="1">
      <c r="H503" s="11"/>
    </row>
    <row r="504" spans="8:8" ht="14.25" customHeight="1">
      <c r="H504" s="11"/>
    </row>
    <row r="505" spans="8:8" ht="14.25" customHeight="1">
      <c r="H505" s="11"/>
    </row>
    <row r="506" spans="8:8" ht="14.25" customHeight="1">
      <c r="H506" s="11"/>
    </row>
    <row r="507" spans="8:8" ht="14.25" customHeight="1">
      <c r="H507" s="11"/>
    </row>
    <row r="508" spans="8:8" ht="14.25" customHeight="1">
      <c r="H508" s="11"/>
    </row>
    <row r="509" spans="8:8" ht="14.25" customHeight="1">
      <c r="H509" s="11"/>
    </row>
    <row r="510" spans="8:8" ht="14.25" customHeight="1">
      <c r="H510" s="11"/>
    </row>
    <row r="511" spans="8:8" ht="14.25" customHeight="1">
      <c r="H511" s="11"/>
    </row>
    <row r="512" spans="8:8" ht="14.25" customHeight="1">
      <c r="H512" s="11"/>
    </row>
    <row r="513" spans="8:8" ht="14.25" customHeight="1">
      <c r="H513" s="11"/>
    </row>
    <row r="514" spans="8:8" ht="14.25" customHeight="1">
      <c r="H514" s="11"/>
    </row>
    <row r="515" spans="8:8" ht="14.25" customHeight="1">
      <c r="H515" s="11"/>
    </row>
    <row r="516" spans="8:8" ht="14.25" customHeight="1">
      <c r="H516" s="11"/>
    </row>
    <row r="517" spans="8:8" ht="14.25" customHeight="1">
      <c r="H517" s="11"/>
    </row>
    <row r="518" spans="8:8" ht="14.25" customHeight="1">
      <c r="H518" s="11"/>
    </row>
    <row r="519" spans="8:8" ht="14.25" customHeight="1">
      <c r="H519" s="11"/>
    </row>
    <row r="520" spans="8:8" ht="14.25" customHeight="1">
      <c r="H520" s="11"/>
    </row>
    <row r="521" spans="8:8" ht="14.25" customHeight="1">
      <c r="H521" s="11"/>
    </row>
    <row r="522" spans="8:8" ht="14.25" customHeight="1">
      <c r="H522" s="11"/>
    </row>
    <row r="523" spans="8:8" ht="14.25" customHeight="1">
      <c r="H523" s="11"/>
    </row>
    <row r="524" spans="8:8" ht="14.25" customHeight="1">
      <c r="H524" s="11"/>
    </row>
    <row r="525" spans="8:8" ht="14.25" customHeight="1">
      <c r="H525" s="11"/>
    </row>
    <row r="526" spans="8:8" ht="14.25" customHeight="1">
      <c r="H526" s="11"/>
    </row>
    <row r="527" spans="8:8" ht="14.25" customHeight="1">
      <c r="H527" s="11"/>
    </row>
    <row r="528" spans="8:8" ht="14.25" customHeight="1">
      <c r="H528" s="11"/>
    </row>
    <row r="529" spans="8:8" ht="14.25" customHeight="1">
      <c r="H529" s="11"/>
    </row>
    <row r="530" spans="8:8" ht="14.25" customHeight="1">
      <c r="H530" s="11"/>
    </row>
    <row r="531" spans="8:8" ht="14.25" customHeight="1">
      <c r="H531" s="11"/>
    </row>
    <row r="532" spans="8:8" ht="14.25" customHeight="1">
      <c r="H532" s="11"/>
    </row>
    <row r="533" spans="8:8" ht="14.25" customHeight="1">
      <c r="H533" s="11"/>
    </row>
    <row r="534" spans="8:8" ht="14.25" customHeight="1">
      <c r="H534" s="11"/>
    </row>
    <row r="535" spans="8:8" ht="14.25" customHeight="1">
      <c r="H535" s="11"/>
    </row>
    <row r="536" spans="8:8" ht="14.25" customHeight="1">
      <c r="H536" s="11"/>
    </row>
    <row r="537" spans="8:8" ht="14.25" customHeight="1">
      <c r="H537" s="11"/>
    </row>
    <row r="538" spans="8:8" ht="14.25" customHeight="1">
      <c r="H538" s="11"/>
    </row>
    <row r="539" spans="8:8" ht="14.25" customHeight="1">
      <c r="H539" s="11"/>
    </row>
    <row r="540" spans="8:8" ht="14.25" customHeight="1">
      <c r="H540" s="11"/>
    </row>
    <row r="541" spans="8:8" ht="14.25" customHeight="1">
      <c r="H541" s="11"/>
    </row>
    <row r="542" spans="8:8" ht="14.25" customHeight="1">
      <c r="H542" s="11"/>
    </row>
    <row r="543" spans="8:8" ht="14.25" customHeight="1">
      <c r="H543" s="11"/>
    </row>
    <row r="544" spans="8:8" ht="14.25" customHeight="1">
      <c r="H544" s="11"/>
    </row>
    <row r="545" spans="8:8" ht="14.25" customHeight="1">
      <c r="H545" s="11"/>
    </row>
    <row r="546" spans="8:8" ht="14.25" customHeight="1">
      <c r="H546" s="11"/>
    </row>
    <row r="547" spans="8:8" ht="14.25" customHeight="1">
      <c r="H547" s="11"/>
    </row>
    <row r="548" spans="8:8" ht="14.25" customHeight="1">
      <c r="H548" s="11"/>
    </row>
    <row r="549" spans="8:8" ht="14.25" customHeight="1">
      <c r="H549" s="11"/>
    </row>
    <row r="550" spans="8:8" ht="14.25" customHeight="1">
      <c r="H550" s="11"/>
    </row>
    <row r="551" spans="8:8" ht="14.25" customHeight="1">
      <c r="H551" s="11"/>
    </row>
    <row r="552" spans="8:8" ht="14.25" customHeight="1">
      <c r="H552" s="11"/>
    </row>
    <row r="553" spans="8:8" ht="14.25" customHeight="1">
      <c r="H553" s="11"/>
    </row>
    <row r="554" spans="8:8" ht="14.25" customHeight="1">
      <c r="H554" s="11"/>
    </row>
    <row r="555" spans="8:8" ht="14.25" customHeight="1">
      <c r="H555" s="11"/>
    </row>
    <row r="556" spans="8:8" ht="14.25" customHeight="1">
      <c r="H556" s="11"/>
    </row>
    <row r="557" spans="8:8" ht="14.25" customHeight="1">
      <c r="H557" s="11"/>
    </row>
    <row r="558" spans="8:8" ht="14.25" customHeight="1">
      <c r="H558" s="11"/>
    </row>
    <row r="559" spans="8:8" ht="14.25" customHeight="1">
      <c r="H559" s="11"/>
    </row>
    <row r="560" spans="8:8" ht="14.25" customHeight="1">
      <c r="H560" s="11"/>
    </row>
    <row r="561" spans="8:8" ht="14.25" customHeight="1">
      <c r="H561" s="11"/>
    </row>
    <row r="562" spans="8:8" ht="14.25" customHeight="1">
      <c r="H562" s="11"/>
    </row>
    <row r="563" spans="8:8" ht="14.25" customHeight="1">
      <c r="H563" s="11"/>
    </row>
    <row r="564" spans="8:8" ht="14.25" customHeight="1">
      <c r="H564" s="11"/>
    </row>
    <row r="565" spans="8:8" ht="14.25" customHeight="1">
      <c r="H565" s="11"/>
    </row>
    <row r="566" spans="8:8" ht="14.25" customHeight="1">
      <c r="H566" s="11"/>
    </row>
    <row r="567" spans="8:8" ht="14.25" customHeight="1">
      <c r="H567" s="11"/>
    </row>
    <row r="568" spans="8:8" ht="14.25" customHeight="1">
      <c r="H568" s="11"/>
    </row>
    <row r="569" spans="8:8" ht="14.25" customHeight="1">
      <c r="H569" s="11"/>
    </row>
    <row r="570" spans="8:8" ht="14.25" customHeight="1">
      <c r="H570" s="11"/>
    </row>
    <row r="571" spans="8:8" ht="14.25" customHeight="1">
      <c r="H571" s="11"/>
    </row>
    <row r="572" spans="8:8" ht="14.25" customHeight="1">
      <c r="H572" s="11"/>
    </row>
    <row r="573" spans="8:8" ht="14.25" customHeight="1">
      <c r="H573" s="11"/>
    </row>
    <row r="574" spans="8:8" ht="14.25" customHeight="1">
      <c r="H574" s="11"/>
    </row>
    <row r="575" spans="8:8" ht="14.25" customHeight="1">
      <c r="H575" s="11"/>
    </row>
    <row r="576" spans="8:8" ht="14.25" customHeight="1">
      <c r="H576" s="11"/>
    </row>
    <row r="577" spans="8:8" ht="14.25" customHeight="1">
      <c r="H577" s="11"/>
    </row>
    <row r="578" spans="8:8" ht="14.25" customHeight="1">
      <c r="H578" s="11"/>
    </row>
    <row r="579" spans="8:8" ht="14.25" customHeight="1">
      <c r="H579" s="11"/>
    </row>
    <row r="580" spans="8:8" ht="14.25" customHeight="1">
      <c r="H580" s="11"/>
    </row>
    <row r="581" spans="8:8" ht="14.25" customHeight="1">
      <c r="H581" s="11"/>
    </row>
    <row r="582" spans="8:8" ht="14.25" customHeight="1">
      <c r="H582" s="11"/>
    </row>
    <row r="583" spans="8:8" ht="14.25" customHeight="1">
      <c r="H583" s="11"/>
    </row>
    <row r="584" spans="8:8" ht="14.25" customHeight="1">
      <c r="H584" s="11"/>
    </row>
    <row r="585" spans="8:8" ht="14.25" customHeight="1">
      <c r="H585" s="11"/>
    </row>
    <row r="586" spans="8:8" ht="14.25" customHeight="1">
      <c r="H586" s="11"/>
    </row>
    <row r="587" spans="8:8" ht="14.25" customHeight="1">
      <c r="H587" s="11"/>
    </row>
    <row r="588" spans="8:8" ht="14.25" customHeight="1">
      <c r="H588" s="11"/>
    </row>
    <row r="589" spans="8:8" ht="14.25" customHeight="1">
      <c r="H589" s="11"/>
    </row>
    <row r="590" spans="8:8" ht="14.25" customHeight="1">
      <c r="H590" s="11"/>
    </row>
    <row r="591" spans="8:8" ht="14.25" customHeight="1">
      <c r="H591" s="11"/>
    </row>
    <row r="592" spans="8:8" ht="14.25" customHeight="1">
      <c r="H592" s="11"/>
    </row>
    <row r="593" spans="8:8" ht="14.25" customHeight="1">
      <c r="H593" s="11"/>
    </row>
    <row r="594" spans="8:8" ht="14.25" customHeight="1">
      <c r="H594" s="11"/>
    </row>
    <row r="595" spans="8:8" ht="14.25" customHeight="1">
      <c r="H595" s="11"/>
    </row>
    <row r="596" spans="8:8" ht="14.25" customHeight="1">
      <c r="H596" s="11"/>
    </row>
    <row r="597" spans="8:8" ht="14.25" customHeight="1">
      <c r="H597" s="11"/>
    </row>
    <row r="598" spans="8:8" ht="14.25" customHeight="1">
      <c r="H598" s="11"/>
    </row>
    <row r="599" spans="8:8" ht="14.25" customHeight="1">
      <c r="H599" s="11"/>
    </row>
    <row r="600" spans="8:8" ht="14.25" customHeight="1">
      <c r="H600" s="11"/>
    </row>
    <row r="601" spans="8:8" ht="14.25" customHeight="1">
      <c r="H601" s="11"/>
    </row>
    <row r="602" spans="8:8" ht="14.25" customHeight="1">
      <c r="H602" s="11"/>
    </row>
    <row r="603" spans="8:8" ht="14.25" customHeight="1">
      <c r="H603" s="11"/>
    </row>
    <row r="604" spans="8:8" ht="14.25" customHeight="1">
      <c r="H604" s="11"/>
    </row>
    <row r="605" spans="8:8" ht="14.25" customHeight="1">
      <c r="H605" s="11"/>
    </row>
    <row r="606" spans="8:8" ht="14.25" customHeight="1">
      <c r="H606" s="11"/>
    </row>
    <row r="607" spans="8:8" ht="14.25" customHeight="1">
      <c r="H607" s="11"/>
    </row>
    <row r="608" spans="8:8" ht="14.25" customHeight="1">
      <c r="H608" s="11"/>
    </row>
    <row r="609" spans="8:8" ht="14.25" customHeight="1">
      <c r="H609" s="11"/>
    </row>
    <row r="610" spans="8:8" ht="14.25" customHeight="1">
      <c r="H610" s="11"/>
    </row>
    <row r="611" spans="8:8" ht="14.25" customHeight="1">
      <c r="H611" s="11"/>
    </row>
    <row r="612" spans="8:8" ht="14.25" customHeight="1">
      <c r="H612" s="11"/>
    </row>
    <row r="613" spans="8:8" ht="14.25" customHeight="1">
      <c r="H613" s="11"/>
    </row>
    <row r="614" spans="8:8" ht="14.25" customHeight="1">
      <c r="H614" s="11"/>
    </row>
    <row r="615" spans="8:8" ht="14.25" customHeight="1">
      <c r="H615" s="11"/>
    </row>
    <row r="616" spans="8:8" ht="14.25" customHeight="1">
      <c r="H616" s="11"/>
    </row>
    <row r="617" spans="8:8" ht="14.25" customHeight="1">
      <c r="H617" s="11"/>
    </row>
    <row r="618" spans="8:8" ht="14.25" customHeight="1">
      <c r="H618" s="11"/>
    </row>
    <row r="619" spans="8:8" ht="14.25" customHeight="1">
      <c r="H619" s="11"/>
    </row>
    <row r="620" spans="8:8" ht="14.25" customHeight="1">
      <c r="H620" s="11"/>
    </row>
    <row r="621" spans="8:8" ht="14.25" customHeight="1">
      <c r="H621" s="11"/>
    </row>
    <row r="622" spans="8:8" ht="14.25" customHeight="1">
      <c r="H622" s="11"/>
    </row>
    <row r="623" spans="8:8" ht="14.25" customHeight="1">
      <c r="H623" s="11"/>
    </row>
    <row r="624" spans="8:8" ht="14.25" customHeight="1">
      <c r="H624" s="11"/>
    </row>
    <row r="625" spans="8:8" ht="14.25" customHeight="1">
      <c r="H625" s="11"/>
    </row>
    <row r="626" spans="8:8" ht="14.25" customHeight="1">
      <c r="H626" s="11"/>
    </row>
    <row r="627" spans="8:8" ht="14.25" customHeight="1">
      <c r="H627" s="11"/>
    </row>
    <row r="628" spans="8:8" ht="14.25" customHeight="1">
      <c r="H628" s="11"/>
    </row>
    <row r="629" spans="8:8" ht="14.25" customHeight="1">
      <c r="H629" s="11"/>
    </row>
    <row r="630" spans="8:8" ht="14.25" customHeight="1">
      <c r="H630" s="11"/>
    </row>
    <row r="631" spans="8:8" ht="14.25" customHeight="1">
      <c r="H631" s="11"/>
    </row>
    <row r="632" spans="8:8" ht="14.25" customHeight="1">
      <c r="H632" s="11"/>
    </row>
    <row r="633" spans="8:8" ht="14.25" customHeight="1">
      <c r="H633" s="11"/>
    </row>
    <row r="634" spans="8:8" ht="14.25" customHeight="1">
      <c r="H634" s="11"/>
    </row>
    <row r="635" spans="8:8" ht="14.25" customHeight="1">
      <c r="H635" s="11"/>
    </row>
    <row r="636" spans="8:8" ht="14.25" customHeight="1">
      <c r="H636" s="11"/>
    </row>
    <row r="637" spans="8:8" ht="14.25" customHeight="1">
      <c r="H637" s="11"/>
    </row>
    <row r="638" spans="8:8" ht="14.25" customHeight="1">
      <c r="H638" s="11"/>
    </row>
    <row r="639" spans="8:8" ht="14.25" customHeight="1">
      <c r="H639" s="11"/>
    </row>
    <row r="640" spans="8:8" ht="14.25" customHeight="1">
      <c r="H640" s="11"/>
    </row>
    <row r="641" spans="8:8" ht="14.25" customHeight="1">
      <c r="H641" s="11"/>
    </row>
    <row r="642" spans="8:8" ht="14.25" customHeight="1">
      <c r="H642" s="11"/>
    </row>
    <row r="643" spans="8:8" ht="14.25" customHeight="1">
      <c r="H643" s="11"/>
    </row>
    <row r="644" spans="8:8" ht="14.25" customHeight="1">
      <c r="H644" s="11"/>
    </row>
    <row r="645" spans="8:8" ht="14.25" customHeight="1">
      <c r="H645" s="11"/>
    </row>
    <row r="646" spans="8:8" ht="14.25" customHeight="1">
      <c r="H646" s="11"/>
    </row>
    <row r="647" spans="8:8" ht="14.25" customHeight="1">
      <c r="H647" s="11"/>
    </row>
    <row r="648" spans="8:8" ht="14.25" customHeight="1">
      <c r="H648" s="11"/>
    </row>
    <row r="649" spans="8:8" ht="14.25" customHeight="1">
      <c r="H649" s="11"/>
    </row>
    <row r="650" spans="8:8" ht="14.25" customHeight="1">
      <c r="H650" s="11"/>
    </row>
    <row r="651" spans="8:8" ht="14.25" customHeight="1">
      <c r="H651" s="11"/>
    </row>
    <row r="652" spans="8:8" ht="14.25" customHeight="1">
      <c r="H652" s="11"/>
    </row>
    <row r="653" spans="8:8" ht="14.25" customHeight="1">
      <c r="H653" s="11"/>
    </row>
    <row r="654" spans="8:8" ht="14.25" customHeight="1">
      <c r="H654" s="11"/>
    </row>
    <row r="655" spans="8:8" ht="14.25" customHeight="1">
      <c r="H655" s="11"/>
    </row>
    <row r="656" spans="8:8" ht="14.25" customHeight="1">
      <c r="H656" s="11"/>
    </row>
    <row r="657" spans="8:8" ht="14.25" customHeight="1">
      <c r="H657" s="11"/>
    </row>
    <row r="658" spans="8:8" ht="14.25" customHeight="1">
      <c r="H658" s="11"/>
    </row>
    <row r="659" spans="8:8" ht="14.25" customHeight="1">
      <c r="H659" s="11"/>
    </row>
    <row r="660" spans="8:8" ht="14.25" customHeight="1">
      <c r="H660" s="11"/>
    </row>
    <row r="661" spans="8:8" ht="14.25" customHeight="1">
      <c r="H661" s="11"/>
    </row>
    <row r="662" spans="8:8" ht="14.25" customHeight="1">
      <c r="H662" s="11"/>
    </row>
    <row r="663" spans="8:8" ht="14.25" customHeight="1">
      <c r="H663" s="11"/>
    </row>
    <row r="664" spans="8:8" ht="14.25" customHeight="1">
      <c r="H664" s="11"/>
    </row>
    <row r="665" spans="8:8" ht="14.25" customHeight="1">
      <c r="H665" s="11"/>
    </row>
    <row r="666" spans="8:8" ht="14.25" customHeight="1">
      <c r="H666" s="11"/>
    </row>
    <row r="667" spans="8:8" ht="14.25" customHeight="1">
      <c r="H667" s="11"/>
    </row>
    <row r="668" spans="8:8" ht="14.25" customHeight="1">
      <c r="H668" s="11"/>
    </row>
    <row r="669" spans="8:8" ht="14.25" customHeight="1">
      <c r="H669" s="11"/>
    </row>
    <row r="670" spans="8:8" ht="14.25" customHeight="1">
      <c r="H670" s="11"/>
    </row>
    <row r="671" spans="8:8" ht="14.25" customHeight="1">
      <c r="H671" s="11"/>
    </row>
    <row r="672" spans="8:8" ht="14.25" customHeight="1">
      <c r="H672" s="11"/>
    </row>
    <row r="673" spans="8:8" ht="14.25" customHeight="1">
      <c r="H673" s="11"/>
    </row>
    <row r="674" spans="8:8" ht="14.25" customHeight="1">
      <c r="H674" s="11"/>
    </row>
    <row r="675" spans="8:8" ht="14.25" customHeight="1">
      <c r="H675" s="11"/>
    </row>
    <row r="676" spans="8:8" ht="14.25" customHeight="1">
      <c r="H676" s="11"/>
    </row>
    <row r="677" spans="8:8" ht="14.25" customHeight="1">
      <c r="H677" s="11"/>
    </row>
    <row r="678" spans="8:8" ht="14.25" customHeight="1">
      <c r="H678" s="11"/>
    </row>
    <row r="679" spans="8:8" ht="14.25" customHeight="1">
      <c r="H679" s="11"/>
    </row>
    <row r="680" spans="8:8" ht="14.25" customHeight="1">
      <c r="H680" s="11"/>
    </row>
    <row r="681" spans="8:8" ht="14.25" customHeight="1">
      <c r="H681" s="11"/>
    </row>
    <row r="682" spans="8:8" ht="14.25" customHeight="1">
      <c r="H682" s="11"/>
    </row>
    <row r="683" spans="8:8" ht="14.25" customHeight="1">
      <c r="H683" s="11"/>
    </row>
    <row r="684" spans="8:8" ht="14.25" customHeight="1">
      <c r="H684" s="11"/>
    </row>
    <row r="685" spans="8:8" ht="14.25" customHeight="1">
      <c r="H685" s="11"/>
    </row>
    <row r="686" spans="8:8" ht="14.25" customHeight="1">
      <c r="H686" s="11"/>
    </row>
    <row r="687" spans="8:8" ht="14.25" customHeight="1">
      <c r="H687" s="11"/>
    </row>
    <row r="688" spans="8:8" ht="14.25" customHeight="1">
      <c r="H688" s="11"/>
    </row>
    <row r="689" spans="8:8" ht="14.25" customHeight="1">
      <c r="H689" s="11"/>
    </row>
    <row r="690" spans="8:8" ht="14.25" customHeight="1">
      <c r="H690" s="11"/>
    </row>
    <row r="691" spans="8:8" ht="14.25" customHeight="1">
      <c r="H691" s="11"/>
    </row>
    <row r="692" spans="8:8" ht="14.25" customHeight="1">
      <c r="H692" s="11"/>
    </row>
    <row r="693" spans="8:8" ht="14.25" customHeight="1">
      <c r="H693" s="11"/>
    </row>
    <row r="694" spans="8:8" ht="14.25" customHeight="1">
      <c r="H694" s="11"/>
    </row>
    <row r="695" spans="8:8" ht="14.25" customHeight="1">
      <c r="H695" s="11"/>
    </row>
    <row r="696" spans="8:8" ht="14.25" customHeight="1">
      <c r="H696" s="11"/>
    </row>
    <row r="697" spans="8:8" ht="14.25" customHeight="1">
      <c r="H697" s="11"/>
    </row>
    <row r="698" spans="8:8" ht="14.25" customHeight="1">
      <c r="H698" s="11"/>
    </row>
    <row r="699" spans="8:8" ht="14.25" customHeight="1">
      <c r="H699" s="11"/>
    </row>
    <row r="700" spans="8:8" ht="14.25" customHeight="1">
      <c r="H700" s="11"/>
    </row>
    <row r="701" spans="8:8" ht="14.25" customHeight="1">
      <c r="H701" s="11"/>
    </row>
    <row r="702" spans="8:8" ht="14.25" customHeight="1">
      <c r="H702" s="11"/>
    </row>
    <row r="703" spans="8:8" ht="14.25" customHeight="1">
      <c r="H703" s="11"/>
    </row>
    <row r="704" spans="8:8" ht="14.25" customHeight="1">
      <c r="H704" s="11"/>
    </row>
    <row r="705" spans="8:8" ht="14.25" customHeight="1">
      <c r="H705" s="11"/>
    </row>
    <row r="706" spans="8:8" ht="14.25" customHeight="1">
      <c r="H706" s="11"/>
    </row>
    <row r="707" spans="8:8" ht="14.25" customHeight="1">
      <c r="H707" s="11"/>
    </row>
    <row r="708" spans="8:8" ht="14.25" customHeight="1">
      <c r="H708" s="11"/>
    </row>
    <row r="709" spans="8:8" ht="14.25" customHeight="1">
      <c r="H709" s="11"/>
    </row>
    <row r="710" spans="8:8" ht="14.25" customHeight="1">
      <c r="H710" s="11"/>
    </row>
    <row r="711" spans="8:8" ht="14.25" customHeight="1">
      <c r="H711" s="11"/>
    </row>
    <row r="712" spans="8:8" ht="14.25" customHeight="1">
      <c r="H712" s="11"/>
    </row>
    <row r="713" spans="8:8" ht="14.25" customHeight="1">
      <c r="H713" s="11"/>
    </row>
    <row r="714" spans="8:8" ht="14.25" customHeight="1">
      <c r="H714" s="11"/>
    </row>
    <row r="715" spans="8:8" ht="14.25" customHeight="1">
      <c r="H715" s="11"/>
    </row>
    <row r="716" spans="8:8" ht="14.25" customHeight="1">
      <c r="H716" s="11"/>
    </row>
    <row r="717" spans="8:8" ht="14.25" customHeight="1">
      <c r="H717" s="11"/>
    </row>
    <row r="718" spans="8:8" ht="14.25" customHeight="1">
      <c r="H718" s="11"/>
    </row>
    <row r="719" spans="8:8" ht="14.25" customHeight="1">
      <c r="H719" s="11"/>
    </row>
    <row r="720" spans="8:8" ht="14.25" customHeight="1">
      <c r="H720" s="11"/>
    </row>
    <row r="721" spans="8:8" ht="14.25" customHeight="1">
      <c r="H721" s="11"/>
    </row>
    <row r="722" spans="8:8" ht="14.25" customHeight="1">
      <c r="H722" s="11"/>
    </row>
    <row r="723" spans="8:8" ht="14.25" customHeight="1">
      <c r="H723" s="11"/>
    </row>
    <row r="724" spans="8:8" ht="14.25" customHeight="1">
      <c r="H724" s="11"/>
    </row>
    <row r="725" spans="8:8" ht="14.25" customHeight="1">
      <c r="H725" s="11"/>
    </row>
    <row r="726" spans="8:8" ht="14.25" customHeight="1">
      <c r="H726" s="11"/>
    </row>
    <row r="727" spans="8:8" ht="14.25" customHeight="1">
      <c r="H727" s="11"/>
    </row>
    <row r="728" spans="8:8" ht="14.25" customHeight="1">
      <c r="H728" s="11"/>
    </row>
    <row r="729" spans="8:8" ht="14.25" customHeight="1">
      <c r="H729" s="11"/>
    </row>
    <row r="730" spans="8:8" ht="14.25" customHeight="1">
      <c r="H730" s="11"/>
    </row>
    <row r="731" spans="8:8" ht="14.25" customHeight="1">
      <c r="H731" s="11"/>
    </row>
    <row r="732" spans="8:8" ht="14.25" customHeight="1">
      <c r="H732" s="11"/>
    </row>
    <row r="733" spans="8:8" ht="14.25" customHeight="1">
      <c r="H733" s="11"/>
    </row>
    <row r="734" spans="8:8" ht="14.25" customHeight="1">
      <c r="H734" s="11"/>
    </row>
    <row r="735" spans="8:8" ht="14.25" customHeight="1">
      <c r="H735" s="11"/>
    </row>
    <row r="736" spans="8:8" ht="14.25" customHeight="1">
      <c r="H736" s="11"/>
    </row>
    <row r="737" spans="8:8" ht="14.25" customHeight="1">
      <c r="H737" s="11"/>
    </row>
    <row r="738" spans="8:8" ht="14.25" customHeight="1">
      <c r="H738" s="11"/>
    </row>
    <row r="739" spans="8:8" ht="14.25" customHeight="1">
      <c r="H739" s="11"/>
    </row>
    <row r="740" spans="8:8" ht="14.25" customHeight="1">
      <c r="H740" s="11"/>
    </row>
    <row r="741" spans="8:8" ht="14.25" customHeight="1">
      <c r="H741" s="11"/>
    </row>
    <row r="742" spans="8:8" ht="14.25" customHeight="1">
      <c r="H742" s="11"/>
    </row>
    <row r="743" spans="8:8" ht="14.25" customHeight="1">
      <c r="H743" s="11"/>
    </row>
    <row r="744" spans="8:8" ht="14.25" customHeight="1">
      <c r="H744" s="11"/>
    </row>
    <row r="745" spans="8:8" ht="14.25" customHeight="1">
      <c r="H745" s="11"/>
    </row>
    <row r="746" spans="8:8" ht="14.25" customHeight="1">
      <c r="H746" s="11"/>
    </row>
    <row r="747" spans="8:8" ht="14.25" customHeight="1">
      <c r="H747" s="11"/>
    </row>
    <row r="748" spans="8:8" ht="14.25" customHeight="1">
      <c r="H748" s="11"/>
    </row>
    <row r="749" spans="8:8" ht="14.25" customHeight="1">
      <c r="H749" s="11"/>
    </row>
    <row r="750" spans="8:8" ht="14.25" customHeight="1">
      <c r="H750" s="11"/>
    </row>
    <row r="751" spans="8:8" ht="14.25" customHeight="1">
      <c r="H751" s="11"/>
    </row>
    <row r="752" spans="8:8" ht="14.25" customHeight="1">
      <c r="H752" s="11"/>
    </row>
    <row r="753" spans="8:8" ht="14.25" customHeight="1">
      <c r="H753" s="11"/>
    </row>
    <row r="754" spans="8:8" ht="14.25" customHeight="1">
      <c r="H754" s="11"/>
    </row>
    <row r="755" spans="8:8" ht="14.25" customHeight="1">
      <c r="H755" s="11"/>
    </row>
    <row r="756" spans="8:8" ht="14.25" customHeight="1">
      <c r="H756" s="11"/>
    </row>
    <row r="757" spans="8:8" ht="14.25" customHeight="1">
      <c r="H757" s="11"/>
    </row>
    <row r="758" spans="8:8" ht="14.25" customHeight="1">
      <c r="H758" s="11"/>
    </row>
    <row r="759" spans="8:8" ht="14.25" customHeight="1">
      <c r="H759" s="11"/>
    </row>
    <row r="760" spans="8:8" ht="14.25" customHeight="1">
      <c r="H760" s="11"/>
    </row>
    <row r="761" spans="8:8" ht="14.25" customHeight="1">
      <c r="H761" s="11"/>
    </row>
    <row r="762" spans="8:8" ht="14.25" customHeight="1">
      <c r="H762" s="11"/>
    </row>
    <row r="763" spans="8:8" ht="14.25" customHeight="1">
      <c r="H763" s="11"/>
    </row>
    <row r="764" spans="8:8" ht="14.25" customHeight="1">
      <c r="H764" s="11"/>
    </row>
    <row r="765" spans="8:8" ht="14.25" customHeight="1">
      <c r="H765" s="11"/>
    </row>
    <row r="766" spans="8:8" ht="14.25" customHeight="1">
      <c r="H766" s="11"/>
    </row>
    <row r="767" spans="8:8" ht="14.25" customHeight="1">
      <c r="H767" s="11"/>
    </row>
    <row r="768" spans="8:8" ht="14.25" customHeight="1">
      <c r="H768" s="11"/>
    </row>
    <row r="769" spans="8:8" ht="14.25" customHeight="1">
      <c r="H769" s="11"/>
    </row>
    <row r="770" spans="8:8" ht="14.25" customHeight="1">
      <c r="H770" s="11"/>
    </row>
    <row r="771" spans="8:8" ht="14.25" customHeight="1">
      <c r="H771" s="11"/>
    </row>
    <row r="772" spans="8:8" ht="14.25" customHeight="1">
      <c r="H772" s="11"/>
    </row>
    <row r="773" spans="8:8" ht="14.25" customHeight="1">
      <c r="H773" s="11"/>
    </row>
    <row r="774" spans="8:8" ht="14.25" customHeight="1">
      <c r="H774" s="11"/>
    </row>
    <row r="775" spans="8:8" ht="14.25" customHeight="1">
      <c r="H775" s="11"/>
    </row>
    <row r="776" spans="8:8" ht="14.25" customHeight="1">
      <c r="H776" s="11"/>
    </row>
    <row r="777" spans="8:8" ht="14.25" customHeight="1">
      <c r="H777" s="11"/>
    </row>
    <row r="778" spans="8:8" ht="14.25" customHeight="1">
      <c r="H778" s="11"/>
    </row>
    <row r="779" spans="8:8" ht="14.25" customHeight="1">
      <c r="H779" s="11"/>
    </row>
    <row r="780" spans="8:8" ht="14.25" customHeight="1">
      <c r="H780" s="11"/>
    </row>
    <row r="781" spans="8:8" ht="14.25" customHeight="1">
      <c r="H781" s="11"/>
    </row>
    <row r="782" spans="8:8" ht="14.25" customHeight="1">
      <c r="H782" s="11"/>
    </row>
    <row r="783" spans="8:8" ht="14.25" customHeight="1">
      <c r="H783" s="11"/>
    </row>
    <row r="784" spans="8:8" ht="14.25" customHeight="1">
      <c r="H784" s="11"/>
    </row>
    <row r="785" spans="8:8" ht="14.25" customHeight="1">
      <c r="H785" s="11"/>
    </row>
    <row r="786" spans="8:8" ht="14.25" customHeight="1">
      <c r="H786" s="11"/>
    </row>
    <row r="787" spans="8:8" ht="14.25" customHeight="1">
      <c r="H787" s="11"/>
    </row>
    <row r="788" spans="8:8" ht="14.25" customHeight="1">
      <c r="H788" s="11"/>
    </row>
    <row r="789" spans="8:8" ht="14.25" customHeight="1">
      <c r="H789" s="11"/>
    </row>
    <row r="790" spans="8:8" ht="14.25" customHeight="1">
      <c r="H790" s="11"/>
    </row>
    <row r="791" spans="8:8" ht="14.25" customHeight="1">
      <c r="H791" s="11"/>
    </row>
    <row r="792" spans="8:8" ht="14.25" customHeight="1">
      <c r="H792" s="11"/>
    </row>
    <row r="793" spans="8:8" ht="14.25" customHeight="1">
      <c r="H793" s="11"/>
    </row>
    <row r="794" spans="8:8" ht="14.25" customHeight="1">
      <c r="H794" s="11"/>
    </row>
    <row r="795" spans="8:8" ht="14.25" customHeight="1">
      <c r="H795" s="11"/>
    </row>
    <row r="796" spans="8:8" ht="14.25" customHeight="1">
      <c r="H796" s="11"/>
    </row>
    <row r="797" spans="8:8" ht="14.25" customHeight="1">
      <c r="H797" s="11"/>
    </row>
    <row r="798" spans="8:8" ht="14.25" customHeight="1">
      <c r="H798" s="11"/>
    </row>
    <row r="799" spans="8:8" ht="14.25" customHeight="1">
      <c r="H799" s="11"/>
    </row>
    <row r="800" spans="8:8" ht="14.25" customHeight="1">
      <c r="H800" s="11"/>
    </row>
    <row r="801" spans="8:8" ht="14.25" customHeight="1">
      <c r="H801" s="11"/>
    </row>
    <row r="802" spans="8:8" ht="14.25" customHeight="1">
      <c r="H802" s="11"/>
    </row>
    <row r="803" spans="8:8" ht="14.25" customHeight="1">
      <c r="H803" s="11"/>
    </row>
    <row r="804" spans="8:8" ht="14.25" customHeight="1">
      <c r="H804" s="11"/>
    </row>
    <row r="805" spans="8:8" ht="14.25" customHeight="1">
      <c r="H805" s="11"/>
    </row>
    <row r="806" spans="8:8" ht="14.25" customHeight="1">
      <c r="H806" s="11"/>
    </row>
    <row r="807" spans="8:8" ht="14.25" customHeight="1">
      <c r="H807" s="11"/>
    </row>
    <row r="808" spans="8:8" ht="14.25" customHeight="1">
      <c r="H808" s="11"/>
    </row>
    <row r="809" spans="8:8" ht="14.25" customHeight="1">
      <c r="H809" s="11"/>
    </row>
    <row r="810" spans="8:8" ht="14.25" customHeight="1">
      <c r="H810" s="11"/>
    </row>
    <row r="811" spans="8:8" ht="14.25" customHeight="1">
      <c r="H811" s="11"/>
    </row>
    <row r="812" spans="8:8" ht="14.25" customHeight="1">
      <c r="H812" s="11"/>
    </row>
    <row r="813" spans="8:8" ht="14.25" customHeight="1">
      <c r="H813" s="11"/>
    </row>
    <row r="814" spans="8:8" ht="14.25" customHeight="1">
      <c r="H814" s="11"/>
    </row>
    <row r="815" spans="8:8" ht="14.25" customHeight="1">
      <c r="H815" s="11"/>
    </row>
    <row r="816" spans="8:8" ht="14.25" customHeight="1">
      <c r="H816" s="11"/>
    </row>
    <row r="817" spans="8:8" ht="14.25" customHeight="1">
      <c r="H817" s="11"/>
    </row>
    <row r="818" spans="8:8" ht="14.25" customHeight="1">
      <c r="H818" s="11"/>
    </row>
    <row r="819" spans="8:8" ht="14.25" customHeight="1">
      <c r="H819" s="11"/>
    </row>
    <row r="820" spans="8:8" ht="14.25" customHeight="1">
      <c r="H820" s="11"/>
    </row>
    <row r="821" spans="8:8" ht="14.25" customHeight="1">
      <c r="H821" s="11"/>
    </row>
    <row r="822" spans="8:8" ht="14.25" customHeight="1">
      <c r="H822" s="11"/>
    </row>
    <row r="823" spans="8:8" ht="14.25" customHeight="1">
      <c r="H823" s="11"/>
    </row>
    <row r="824" spans="8:8" ht="14.25" customHeight="1">
      <c r="H824" s="11"/>
    </row>
    <row r="825" spans="8:8" ht="14.25" customHeight="1">
      <c r="H825" s="11"/>
    </row>
    <row r="826" spans="8:8" ht="14.25" customHeight="1">
      <c r="H826" s="11"/>
    </row>
    <row r="827" spans="8:8" ht="14.25" customHeight="1">
      <c r="H827" s="11"/>
    </row>
    <row r="828" spans="8:8" ht="14.25" customHeight="1">
      <c r="H828" s="11"/>
    </row>
    <row r="829" spans="8:8" ht="14.25" customHeight="1">
      <c r="H829" s="11"/>
    </row>
    <row r="830" spans="8:8" ht="14.25" customHeight="1">
      <c r="H830" s="11"/>
    </row>
    <row r="831" spans="8:8" ht="14.25" customHeight="1">
      <c r="H831" s="11"/>
    </row>
    <row r="832" spans="8:8" ht="14.25" customHeight="1">
      <c r="H832" s="11"/>
    </row>
    <row r="833" spans="8:8" ht="14.25" customHeight="1">
      <c r="H833" s="11"/>
    </row>
    <row r="834" spans="8:8" ht="14.25" customHeight="1">
      <c r="H834" s="11"/>
    </row>
    <row r="835" spans="8:8" ht="14.25" customHeight="1">
      <c r="H835" s="11"/>
    </row>
    <row r="836" spans="8:8" ht="14.25" customHeight="1">
      <c r="H836" s="11"/>
    </row>
    <row r="837" spans="8:8" ht="14.25" customHeight="1">
      <c r="H837" s="11"/>
    </row>
    <row r="838" spans="8:8" ht="14.25" customHeight="1">
      <c r="H838" s="11"/>
    </row>
    <row r="839" spans="8:8" ht="14.25" customHeight="1">
      <c r="H839" s="11"/>
    </row>
    <row r="840" spans="8:8" ht="14.25" customHeight="1">
      <c r="H840" s="11"/>
    </row>
    <row r="841" spans="8:8" ht="14.25" customHeight="1">
      <c r="H841" s="11"/>
    </row>
    <row r="842" spans="8:8" ht="14.25" customHeight="1">
      <c r="H842" s="11"/>
    </row>
    <row r="843" spans="8:8" ht="14.25" customHeight="1">
      <c r="H843" s="11"/>
    </row>
    <row r="844" spans="8:8" ht="14.25" customHeight="1">
      <c r="H844" s="11"/>
    </row>
    <row r="845" spans="8:8" ht="14.25" customHeight="1">
      <c r="H845" s="11"/>
    </row>
    <row r="846" spans="8:8" ht="14.25" customHeight="1">
      <c r="H846" s="11"/>
    </row>
    <row r="847" spans="8:8" ht="14.25" customHeight="1">
      <c r="H847" s="11"/>
    </row>
    <row r="848" spans="8:8" ht="14.25" customHeight="1">
      <c r="H848" s="11"/>
    </row>
    <row r="849" spans="8:8" ht="14.25" customHeight="1">
      <c r="H849" s="11"/>
    </row>
    <row r="850" spans="8:8" ht="14.25" customHeight="1">
      <c r="H850" s="11"/>
    </row>
    <row r="851" spans="8:8" ht="14.25" customHeight="1">
      <c r="H851" s="11"/>
    </row>
    <row r="852" spans="8:8" ht="14.25" customHeight="1">
      <c r="H852" s="11"/>
    </row>
    <row r="853" spans="8:8" ht="14.25" customHeight="1">
      <c r="H853" s="11"/>
    </row>
    <row r="854" spans="8:8" ht="14.25" customHeight="1">
      <c r="H854" s="11"/>
    </row>
    <row r="855" spans="8:8" ht="14.25" customHeight="1">
      <c r="H855" s="11"/>
    </row>
    <row r="856" spans="8:8" ht="14.25" customHeight="1">
      <c r="H856" s="11"/>
    </row>
    <row r="857" spans="8:8" ht="14.25" customHeight="1">
      <c r="H857" s="11"/>
    </row>
    <row r="858" spans="8:8" ht="14.25" customHeight="1">
      <c r="H858" s="11"/>
    </row>
    <row r="859" spans="8:8" ht="14.25" customHeight="1">
      <c r="H859" s="11"/>
    </row>
    <row r="860" spans="8:8" ht="14.25" customHeight="1">
      <c r="H860" s="11"/>
    </row>
    <row r="861" spans="8:8" ht="14.25" customHeight="1">
      <c r="H861" s="11"/>
    </row>
    <row r="862" spans="8:8" ht="14.25" customHeight="1">
      <c r="H862" s="11"/>
    </row>
    <row r="863" spans="8:8" ht="14.25" customHeight="1">
      <c r="H863" s="11"/>
    </row>
    <row r="864" spans="8:8" ht="14.25" customHeight="1">
      <c r="H864" s="11"/>
    </row>
    <row r="865" spans="8:8" ht="14.25" customHeight="1">
      <c r="H865" s="11"/>
    </row>
    <row r="866" spans="8:8" ht="14.25" customHeight="1">
      <c r="H866" s="11"/>
    </row>
    <row r="867" spans="8:8" ht="14.25" customHeight="1">
      <c r="H867" s="11"/>
    </row>
    <row r="868" spans="8:8" ht="14.25" customHeight="1">
      <c r="H868" s="11"/>
    </row>
    <row r="869" spans="8:8" ht="14.25" customHeight="1">
      <c r="H869" s="11"/>
    </row>
    <row r="870" spans="8:8" ht="14.25" customHeight="1">
      <c r="H870" s="11"/>
    </row>
    <row r="871" spans="8:8" ht="14.25" customHeight="1">
      <c r="H871" s="11"/>
    </row>
    <row r="872" spans="8:8" ht="14.25" customHeight="1">
      <c r="H872" s="11"/>
    </row>
    <row r="873" spans="8:8" ht="14.25" customHeight="1">
      <c r="H873" s="11"/>
    </row>
    <row r="874" spans="8:8" ht="14.25" customHeight="1">
      <c r="H874" s="11"/>
    </row>
    <row r="875" spans="8:8" ht="14.25" customHeight="1">
      <c r="H875" s="11"/>
    </row>
    <row r="876" spans="8:8" ht="14.25" customHeight="1">
      <c r="H876" s="11"/>
    </row>
    <row r="877" spans="8:8" ht="14.25" customHeight="1">
      <c r="H877" s="11"/>
    </row>
    <row r="878" spans="8:8" ht="14.25" customHeight="1">
      <c r="H878" s="11"/>
    </row>
    <row r="879" spans="8:8" ht="14.25" customHeight="1">
      <c r="H879" s="11"/>
    </row>
    <row r="880" spans="8:8" ht="14.25" customHeight="1">
      <c r="H880" s="11"/>
    </row>
    <row r="881" spans="8:8" ht="14.25" customHeight="1">
      <c r="H881" s="11"/>
    </row>
    <row r="882" spans="8:8" ht="14.25" customHeight="1">
      <c r="H882" s="11"/>
    </row>
    <row r="883" spans="8:8" ht="14.25" customHeight="1">
      <c r="H883" s="11"/>
    </row>
    <row r="884" spans="8:8" ht="14.25" customHeight="1">
      <c r="H884" s="11"/>
    </row>
    <row r="885" spans="8:8" ht="14.25" customHeight="1">
      <c r="H885" s="11"/>
    </row>
    <row r="886" spans="8:8" ht="14.25" customHeight="1">
      <c r="H886" s="11"/>
    </row>
    <row r="887" spans="8:8" ht="14.25" customHeight="1">
      <c r="H887" s="11"/>
    </row>
    <row r="888" spans="8:8" ht="14.25" customHeight="1">
      <c r="H888" s="11"/>
    </row>
    <row r="889" spans="8:8" ht="14.25" customHeight="1">
      <c r="H889" s="11"/>
    </row>
    <row r="890" spans="8:8" ht="14.25" customHeight="1">
      <c r="H890" s="11"/>
    </row>
    <row r="891" spans="8:8" ht="14.25" customHeight="1">
      <c r="H891" s="11"/>
    </row>
    <row r="892" spans="8:8" ht="14.25" customHeight="1">
      <c r="H892" s="11"/>
    </row>
    <row r="893" spans="8:8" ht="14.25" customHeight="1">
      <c r="H893" s="11"/>
    </row>
    <row r="894" spans="8:8" ht="14.25" customHeight="1">
      <c r="H894" s="11"/>
    </row>
    <row r="895" spans="8:8" ht="14.25" customHeight="1">
      <c r="H895" s="11"/>
    </row>
    <row r="896" spans="8:8" ht="14.25" customHeight="1">
      <c r="H896" s="11"/>
    </row>
    <row r="897" spans="8:8" ht="14.25" customHeight="1">
      <c r="H897" s="11"/>
    </row>
    <row r="898" spans="8:8" ht="14.25" customHeight="1">
      <c r="H898" s="11"/>
    </row>
    <row r="899" spans="8:8" ht="14.25" customHeight="1">
      <c r="H899" s="11"/>
    </row>
    <row r="900" spans="8:8" ht="14.25" customHeight="1">
      <c r="H900" s="11"/>
    </row>
    <row r="901" spans="8:8" ht="14.25" customHeight="1">
      <c r="H901" s="11"/>
    </row>
    <row r="902" spans="8:8" ht="14.25" customHeight="1">
      <c r="H902" s="11"/>
    </row>
    <row r="903" spans="8:8" ht="14.25" customHeight="1">
      <c r="H903" s="11"/>
    </row>
    <row r="904" spans="8:8" ht="14.25" customHeight="1">
      <c r="H904" s="11"/>
    </row>
    <row r="905" spans="8:8" ht="14.25" customHeight="1">
      <c r="H905" s="11"/>
    </row>
    <row r="906" spans="8:8" ht="14.25" customHeight="1">
      <c r="H906" s="11"/>
    </row>
    <row r="907" spans="8:8" ht="14.25" customHeight="1">
      <c r="H907" s="11"/>
    </row>
    <row r="908" spans="8:8" ht="14.25" customHeight="1">
      <c r="H908" s="11"/>
    </row>
    <row r="909" spans="8:8" ht="14.25" customHeight="1">
      <c r="H909" s="11"/>
    </row>
    <row r="910" spans="8:8" ht="14.25" customHeight="1">
      <c r="H910" s="11"/>
    </row>
    <row r="911" spans="8:8" ht="14.25" customHeight="1">
      <c r="H911" s="11"/>
    </row>
    <row r="912" spans="8:8" ht="14.25" customHeight="1">
      <c r="H912" s="11"/>
    </row>
    <row r="913" spans="8:8" ht="14.25" customHeight="1">
      <c r="H913" s="11"/>
    </row>
    <row r="914" spans="8:8" ht="14.25" customHeight="1">
      <c r="H914" s="11"/>
    </row>
    <row r="915" spans="8:8" ht="14.25" customHeight="1">
      <c r="H915" s="11"/>
    </row>
    <row r="916" spans="8:8" ht="14.25" customHeight="1">
      <c r="H916" s="11"/>
    </row>
    <row r="917" spans="8:8" ht="14.25" customHeight="1">
      <c r="H917" s="11"/>
    </row>
    <row r="918" spans="8:8" ht="14.25" customHeight="1">
      <c r="H918" s="11"/>
    </row>
    <row r="919" spans="8:8" ht="14.25" customHeight="1">
      <c r="H919" s="11"/>
    </row>
    <row r="920" spans="8:8" ht="14.25" customHeight="1">
      <c r="H920" s="11"/>
    </row>
    <row r="921" spans="8:8" ht="14.25" customHeight="1">
      <c r="H921" s="11"/>
    </row>
    <row r="922" spans="8:8" ht="14.25" customHeight="1">
      <c r="H922" s="11"/>
    </row>
    <row r="923" spans="8:8" ht="14.25" customHeight="1">
      <c r="H923" s="11"/>
    </row>
    <row r="924" spans="8:8" ht="14.25" customHeight="1">
      <c r="H924" s="11"/>
    </row>
    <row r="925" spans="8:8" ht="14.25" customHeight="1">
      <c r="H925" s="11"/>
    </row>
    <row r="926" spans="8:8" ht="14.25" customHeight="1">
      <c r="H926" s="11"/>
    </row>
    <row r="927" spans="8:8" ht="14.25" customHeight="1">
      <c r="H927" s="11"/>
    </row>
    <row r="928" spans="8:8" ht="14.25" customHeight="1">
      <c r="H928" s="11"/>
    </row>
    <row r="929" spans="8:8" ht="14.25" customHeight="1">
      <c r="H929" s="11"/>
    </row>
    <row r="930" spans="8:8" ht="14.25" customHeight="1">
      <c r="H930" s="11"/>
    </row>
    <row r="931" spans="8:8" ht="14.25" customHeight="1">
      <c r="H931" s="11"/>
    </row>
    <row r="932" spans="8:8" ht="14.25" customHeight="1">
      <c r="H932" s="11"/>
    </row>
    <row r="933" spans="8:8" ht="14.25" customHeight="1">
      <c r="H933" s="11"/>
    </row>
    <row r="934" spans="8:8" ht="14.25" customHeight="1">
      <c r="H934" s="11"/>
    </row>
    <row r="935" spans="8:8" ht="14.25" customHeight="1">
      <c r="H935" s="11"/>
    </row>
    <row r="936" spans="8:8" ht="14.25" customHeight="1">
      <c r="H936" s="11"/>
    </row>
    <row r="937" spans="8:8" ht="14.25" customHeight="1">
      <c r="H937" s="11"/>
    </row>
    <row r="938" spans="8:8" ht="14.25" customHeight="1">
      <c r="H938" s="11"/>
    </row>
    <row r="939" spans="8:8" ht="14.25" customHeight="1">
      <c r="H939" s="11"/>
    </row>
    <row r="940" spans="8:8" ht="14.25" customHeight="1">
      <c r="H940" s="11"/>
    </row>
    <row r="941" spans="8:8" ht="14.25" customHeight="1">
      <c r="H941" s="11"/>
    </row>
    <row r="942" spans="8:8" ht="14.25" customHeight="1">
      <c r="H942" s="11"/>
    </row>
    <row r="943" spans="8:8" ht="14.25" customHeight="1">
      <c r="H943" s="11"/>
    </row>
    <row r="944" spans="8:8" ht="14.25" customHeight="1">
      <c r="H944" s="11"/>
    </row>
    <row r="945" spans="8:8" ht="14.25" customHeight="1">
      <c r="H945" s="11"/>
    </row>
    <row r="946" spans="8:8" ht="14.25" customHeight="1">
      <c r="H946" s="11"/>
    </row>
    <row r="947" spans="8:8" ht="14.25" customHeight="1">
      <c r="H947" s="11"/>
    </row>
    <row r="948" spans="8:8" ht="14.25" customHeight="1">
      <c r="H948" s="11"/>
    </row>
    <row r="949" spans="8:8" ht="14.25" customHeight="1">
      <c r="H949" s="11"/>
    </row>
    <row r="950" spans="8:8" ht="14.25" customHeight="1">
      <c r="H950" s="11"/>
    </row>
    <row r="951" spans="8:8" ht="14.25" customHeight="1">
      <c r="H951" s="11"/>
    </row>
    <row r="952" spans="8:8" ht="14.25" customHeight="1">
      <c r="H952" s="11"/>
    </row>
    <row r="953" spans="8:8" ht="14.25" customHeight="1">
      <c r="H953" s="11"/>
    </row>
    <row r="954" spans="8:8" ht="14.25" customHeight="1">
      <c r="H954" s="11"/>
    </row>
    <row r="955" spans="8:8" ht="14.25" customHeight="1">
      <c r="H955" s="11"/>
    </row>
    <row r="956" spans="8:8" ht="14.25" customHeight="1">
      <c r="H956" s="11"/>
    </row>
    <row r="957" spans="8:8" ht="14.25" customHeight="1">
      <c r="H957" s="11"/>
    </row>
    <row r="958" spans="8:8" ht="14.25" customHeight="1">
      <c r="H958" s="11"/>
    </row>
    <row r="959" spans="8:8" ht="14.25" customHeight="1">
      <c r="H959" s="11"/>
    </row>
    <row r="960" spans="8:8" ht="14.25" customHeight="1">
      <c r="H960" s="11"/>
    </row>
    <row r="961" spans="8:8" ht="14.25" customHeight="1">
      <c r="H961" s="11"/>
    </row>
    <row r="962" spans="8:8" ht="14.25" customHeight="1">
      <c r="H962" s="11"/>
    </row>
    <row r="963" spans="8:8" ht="14.25" customHeight="1">
      <c r="H963" s="11"/>
    </row>
    <row r="964" spans="8:8" ht="14.25" customHeight="1">
      <c r="H964" s="11"/>
    </row>
    <row r="965" spans="8:8" ht="14.25" customHeight="1">
      <c r="H965" s="11"/>
    </row>
    <row r="966" spans="8:8" ht="14.25" customHeight="1">
      <c r="H966" s="11"/>
    </row>
    <row r="967" spans="8:8" ht="14.25" customHeight="1">
      <c r="H967" s="11"/>
    </row>
    <row r="968" spans="8:8" ht="14.25" customHeight="1">
      <c r="H968" s="11"/>
    </row>
    <row r="969" spans="8:8" ht="14.25" customHeight="1">
      <c r="H969" s="11"/>
    </row>
    <row r="970" spans="8:8" ht="14.25" customHeight="1">
      <c r="H970" s="11"/>
    </row>
    <row r="971" spans="8:8" ht="14.25" customHeight="1">
      <c r="H971" s="11"/>
    </row>
    <row r="972" spans="8:8" ht="14.25" customHeight="1">
      <c r="H972" s="11"/>
    </row>
    <row r="973" spans="8:8" ht="14.25" customHeight="1">
      <c r="H973" s="11"/>
    </row>
    <row r="974" spans="8:8" ht="14.25" customHeight="1">
      <c r="H974" s="11"/>
    </row>
    <row r="975" spans="8:8" ht="14.25" customHeight="1">
      <c r="H975" s="11"/>
    </row>
    <row r="976" spans="8:8" ht="14.25" customHeight="1">
      <c r="H976" s="11"/>
    </row>
    <row r="977" spans="8:8" ht="14.25" customHeight="1">
      <c r="H977" s="11"/>
    </row>
    <row r="978" spans="8:8" ht="14.25" customHeight="1">
      <c r="H978" s="11"/>
    </row>
    <row r="979" spans="8:8" ht="14.25" customHeight="1">
      <c r="H979" s="11"/>
    </row>
    <row r="980" spans="8:8" ht="14.25" customHeight="1">
      <c r="H980" s="11"/>
    </row>
    <row r="981" spans="8:8" ht="14.25" customHeight="1">
      <c r="H981" s="11"/>
    </row>
    <row r="982" spans="8:8" ht="14.25" customHeight="1">
      <c r="H982" s="11"/>
    </row>
    <row r="983" spans="8:8" ht="14.25" customHeight="1">
      <c r="H983" s="11"/>
    </row>
    <row r="984" spans="8:8" ht="14.25" customHeight="1">
      <c r="H984" s="11"/>
    </row>
    <row r="985" spans="8:8" ht="14.25" customHeight="1">
      <c r="H985" s="11"/>
    </row>
    <row r="986" spans="8:8" ht="14.25" customHeight="1">
      <c r="H986" s="11"/>
    </row>
    <row r="987" spans="8:8" ht="14.25" customHeight="1">
      <c r="H987" s="11"/>
    </row>
    <row r="988" spans="8:8" ht="14.25" customHeight="1">
      <c r="H988" s="11"/>
    </row>
    <row r="989" spans="8:8" ht="14.25" customHeight="1">
      <c r="H989" s="11"/>
    </row>
    <row r="990" spans="8:8" ht="14.25" customHeight="1">
      <c r="H990" s="11"/>
    </row>
    <row r="991" spans="8:8" ht="14.25" customHeight="1">
      <c r="H991" s="11"/>
    </row>
    <row r="992" spans="8:8" ht="14.25" customHeight="1">
      <c r="H992" s="11"/>
    </row>
    <row r="993" spans="8:8" ht="14.25" customHeight="1">
      <c r="H993" s="11"/>
    </row>
    <row r="994" spans="8:8" ht="14.25" customHeight="1">
      <c r="H994" s="11"/>
    </row>
    <row r="995" spans="8:8" ht="14.25" customHeight="1">
      <c r="H995" s="11"/>
    </row>
    <row r="996" spans="8:8" ht="14.25" customHeight="1">
      <c r="H996" s="11"/>
    </row>
    <row r="997" spans="8:8" ht="14.25" customHeight="1">
      <c r="H997" s="11"/>
    </row>
    <row r="998" spans="8:8" ht="14.25" customHeight="1">
      <c r="H998" s="11"/>
    </row>
    <row r="999" spans="8:8" ht="14.25" customHeight="1">
      <c r="H999" s="11"/>
    </row>
    <row r="1000" spans="8:8" ht="14.25" customHeight="1">
      <c r="H1000" s="11"/>
    </row>
  </sheetData>
  <customSheetViews>
    <customSheetView guid="{A7283310-F6A6-468C-A91A-1FB0B94D65BC}" filter="1" showAutoFilter="1" topLeftCell="A1">
      <pageMargins left="0.75" right="0.75" top="1" bottom="1" header="0.5" footer="0.5"/>
      <autoFilter ref="A1:N57"/>
    </customSheetView>
  </customSheetViews>
  <hyperlinks>
    <hyperlink ref="M55" r:id="rId1" display="https://static.chipdip.ru/lib/893/DOC031893419.pdf"/>
  </hyperlinks>
  <pageMargins left="0.7" right="0.7" top="0.75" bottom="0.75" header="0" footer="0"/>
  <pageSetup orientation="portrait" paperSize="9"/>
  <tableParts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900-000000000000}">
  <dimension ref="A1:P30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27.5714285714286" customWidth="1"/>
    <col min="2" max="2" width="23.2857142857143" customWidth="1"/>
    <col min="3" max="3" width="12.2857142857143" customWidth="1"/>
    <col min="4" max="4" width="29.4285714285714" customWidth="1"/>
    <col min="5" max="5" width="14.2857142857143" customWidth="1"/>
    <col min="6" max="6" width="8.28571428571429" customWidth="1"/>
    <col min="7" max="7" width="12.2857142857143" customWidth="1"/>
    <col min="8" max="8" width="13" customWidth="1"/>
    <col min="9" max="9" width="8.71428571428571" customWidth="1"/>
    <col min="10" max="10" width="30.2857142857143" customWidth="1"/>
    <col min="11" max="11" width="16.7142857142857" customWidth="1"/>
    <col min="12" max="12" width="14.7142857142857" customWidth="1"/>
    <col min="13" max="13" width="19.2857142857143" customWidth="1"/>
    <col min="14" max="14" width="18.4285714285714" customWidth="1"/>
    <col min="15" max="15" width="13.2857142857143" customWidth="1"/>
    <col min="16" max="26" width="8.71428571428571" customWidth="1"/>
  </cols>
  <sheetData>
    <row r="1" spans="1:16" ht="14.25" customHeight="1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16</v>
      </c>
      <c r="G1" s="41" t="s">
        <v>273</v>
      </c>
      <c r="H1" s="41" t="s">
        <v>12</v>
      </c>
      <c r="I1" s="41" t="s">
        <v>571</v>
      </c>
      <c r="J1" s="41" t="s">
        <v>5</v>
      </c>
      <c r="K1" s="41" t="s">
        <v>6</v>
      </c>
      <c r="L1" s="51" t="s">
        <v>574</v>
      </c>
      <c r="M1" s="41" t="s">
        <v>7</v>
      </c>
      <c r="N1" s="41" t="s">
        <v>8</v>
      </c>
      <c r="O1" s="43" t="s">
        <v>11</v>
      </c>
      <c r="P1" s="43" t="s">
        <v>13</v>
      </c>
    </row>
    <row r="2" spans="1:12" ht="14.25" customHeight="1">
      <c r="A2" s="4" t="s">
        <v>576</v>
      </c>
      <c r="B2" s="4" t="s">
        <v>577</v>
      </c>
      <c r="C2" s="4" t="s">
        <v>496</v>
      </c>
      <c r="D2" s="4" t="s">
        <v>513</v>
      </c>
      <c r="E2" s="4" t="s">
        <v>511</v>
      </c>
      <c r="F2" s="4" t="s">
        <v>581</v>
      </c>
      <c r="G2" s="6">
        <v>0.10</v>
      </c>
      <c r="H2" s="6">
        <v>50</v>
      </c>
      <c r="I2" s="4" t="s">
        <v>582</v>
      </c>
      <c r="J2" s="4" t="s">
        <v>515</v>
      </c>
      <c r="K2" s="4" t="s">
        <v>516</v>
      </c>
      <c r="L2" s="6">
        <v>1</v>
      </c>
    </row>
    <row r="3" spans="1:12" ht="14.25" customHeight="1">
      <c r="A3" s="4" t="s">
        <v>584</v>
      </c>
      <c r="B3" s="4" t="s">
        <v>577</v>
      </c>
      <c r="C3" s="4" t="s">
        <v>496</v>
      </c>
      <c r="D3" s="4" t="s">
        <v>513</v>
      </c>
      <c r="E3" s="4" t="s">
        <v>511</v>
      </c>
      <c r="F3" s="4" t="s">
        <v>586</v>
      </c>
      <c r="G3" s="6">
        <v>0.10</v>
      </c>
      <c r="H3" s="6">
        <v>50</v>
      </c>
      <c r="I3" s="4" t="s">
        <v>582</v>
      </c>
      <c r="J3" s="4" t="s">
        <v>515</v>
      </c>
      <c r="K3" s="4" t="s">
        <v>516</v>
      </c>
      <c r="L3" s="6">
        <v>1.50</v>
      </c>
    </row>
    <row r="4" spans="1:12" ht="14.25" customHeight="1">
      <c r="A4" s="4" t="s">
        <v>588</v>
      </c>
      <c r="B4" s="4" t="s">
        <v>577</v>
      </c>
      <c r="C4" s="4" t="s">
        <v>496</v>
      </c>
      <c r="D4" s="4" t="s">
        <v>513</v>
      </c>
      <c r="E4" s="4" t="s">
        <v>511</v>
      </c>
      <c r="F4" s="4" t="s">
        <v>590</v>
      </c>
      <c r="G4" s="6">
        <v>0.10</v>
      </c>
      <c r="H4" s="6">
        <v>50</v>
      </c>
      <c r="I4" s="4" t="s">
        <v>582</v>
      </c>
      <c r="J4" s="4" t="s">
        <v>515</v>
      </c>
      <c r="K4" s="4" t="s">
        <v>516</v>
      </c>
      <c r="L4" s="6">
        <v>2.20</v>
      </c>
    </row>
    <row r="5" spans="1:12" ht="14.25" customHeight="1">
      <c r="A5" s="4" t="s">
        <v>595</v>
      </c>
      <c r="B5" s="4" t="s">
        <v>577</v>
      </c>
      <c r="C5" s="4" t="s">
        <v>496</v>
      </c>
      <c r="D5" s="4" t="s">
        <v>513</v>
      </c>
      <c r="E5" s="4" t="s">
        <v>511</v>
      </c>
      <c r="F5" s="4" t="s">
        <v>596</v>
      </c>
      <c r="G5" s="6">
        <v>0.10</v>
      </c>
      <c r="H5" s="6">
        <v>50</v>
      </c>
      <c r="I5" s="4" t="s">
        <v>582</v>
      </c>
      <c r="J5" s="4" t="s">
        <v>515</v>
      </c>
      <c r="K5" s="4" t="s">
        <v>516</v>
      </c>
      <c r="L5" s="6">
        <v>3.30</v>
      </c>
    </row>
    <row r="6" spans="1:12" ht="14.25" customHeight="1">
      <c r="A6" s="4" t="s">
        <v>600</v>
      </c>
      <c r="B6" s="4" t="s">
        <v>577</v>
      </c>
      <c r="C6" s="4" t="s">
        <v>496</v>
      </c>
      <c r="D6" s="4" t="s">
        <v>513</v>
      </c>
      <c r="E6" s="4" t="s">
        <v>511</v>
      </c>
      <c r="F6" s="4" t="s">
        <v>514</v>
      </c>
      <c r="G6" s="6">
        <v>0.10</v>
      </c>
      <c r="H6" s="6">
        <v>50</v>
      </c>
      <c r="I6" s="4" t="s">
        <v>582</v>
      </c>
      <c r="J6" s="4" t="s">
        <v>515</v>
      </c>
      <c r="K6" s="4" t="s">
        <v>516</v>
      </c>
      <c r="L6" s="6">
        <v>4.70</v>
      </c>
    </row>
    <row r="7" spans="1:12" ht="14.25" customHeight="1">
      <c r="A7" s="4" t="s">
        <v>603</v>
      </c>
      <c r="B7" s="4" t="s">
        <v>577</v>
      </c>
      <c r="C7" s="4" t="s">
        <v>496</v>
      </c>
      <c r="D7" s="4" t="s">
        <v>513</v>
      </c>
      <c r="E7" s="4" t="s">
        <v>511</v>
      </c>
      <c r="F7" s="4" t="s">
        <v>604</v>
      </c>
      <c r="G7" s="6">
        <v>0.10</v>
      </c>
      <c r="H7" s="6">
        <v>50</v>
      </c>
      <c r="I7" s="4" t="s">
        <v>582</v>
      </c>
      <c r="J7" s="4" t="s">
        <v>515</v>
      </c>
      <c r="K7" s="4" t="s">
        <v>516</v>
      </c>
      <c r="L7" s="6">
        <v>6.80</v>
      </c>
    </row>
    <row r="8" spans="1:12" ht="14.25" customHeight="1">
      <c r="A8" s="4" t="s">
        <v>608</v>
      </c>
      <c r="B8" s="4" t="s">
        <v>577</v>
      </c>
      <c r="C8" s="4" t="s">
        <v>496</v>
      </c>
      <c r="D8" s="4" t="s">
        <v>513</v>
      </c>
      <c r="E8" s="4" t="s">
        <v>511</v>
      </c>
      <c r="F8" s="4" t="s">
        <v>611</v>
      </c>
      <c r="G8" s="6">
        <v>0.10</v>
      </c>
      <c r="H8" s="6">
        <v>50</v>
      </c>
      <c r="I8" s="4" t="s">
        <v>582</v>
      </c>
      <c r="J8" s="4" t="s">
        <v>515</v>
      </c>
      <c r="K8" s="4" t="s">
        <v>516</v>
      </c>
      <c r="L8" s="6">
        <v>10</v>
      </c>
    </row>
    <row r="9" spans="1:12" ht="14.25" customHeight="1">
      <c r="A9" s="4" t="s">
        <v>612</v>
      </c>
      <c r="B9" s="4" t="s">
        <v>577</v>
      </c>
      <c r="C9" s="4" t="s">
        <v>496</v>
      </c>
      <c r="D9" s="4" t="s">
        <v>513</v>
      </c>
      <c r="E9" s="4" t="s">
        <v>511</v>
      </c>
      <c r="F9" s="4" t="s">
        <v>614</v>
      </c>
      <c r="G9" s="6">
        <v>0.10</v>
      </c>
      <c r="H9" s="6">
        <v>50</v>
      </c>
      <c r="I9" s="4" t="s">
        <v>582</v>
      </c>
      <c r="J9" s="4" t="s">
        <v>515</v>
      </c>
      <c r="K9" s="4" t="s">
        <v>516</v>
      </c>
      <c r="L9" s="6">
        <v>15</v>
      </c>
    </row>
    <row r="10" spans="1:12" ht="14.25" customHeight="1">
      <c r="A10" s="4" t="s">
        <v>618</v>
      </c>
      <c r="B10" s="4" t="s">
        <v>577</v>
      </c>
      <c r="C10" s="4" t="s">
        <v>496</v>
      </c>
      <c r="D10" s="4" t="s">
        <v>513</v>
      </c>
      <c r="E10" s="4" t="s">
        <v>511</v>
      </c>
      <c r="F10" s="4" t="s">
        <v>620</v>
      </c>
      <c r="G10" s="6">
        <v>0.10</v>
      </c>
      <c r="H10" s="6">
        <v>50</v>
      </c>
      <c r="I10" s="4" t="s">
        <v>582</v>
      </c>
      <c r="J10" s="4" t="s">
        <v>515</v>
      </c>
      <c r="K10" s="4" t="s">
        <v>516</v>
      </c>
      <c r="L10" s="6">
        <v>22</v>
      </c>
    </row>
    <row r="11" spans="1:12" ht="14.25" customHeight="1">
      <c r="A11" s="4" t="s">
        <v>624</v>
      </c>
      <c r="B11" s="4" t="s">
        <v>577</v>
      </c>
      <c r="C11" s="4" t="s">
        <v>496</v>
      </c>
      <c r="D11" s="4" t="s">
        <v>513</v>
      </c>
      <c r="E11" s="4" t="s">
        <v>511</v>
      </c>
      <c r="F11" s="4" t="s">
        <v>627</v>
      </c>
      <c r="G11" s="6">
        <v>0.10</v>
      </c>
      <c r="H11" s="6">
        <v>50</v>
      </c>
      <c r="I11" s="4" t="s">
        <v>582</v>
      </c>
      <c r="J11" s="4" t="s">
        <v>515</v>
      </c>
      <c r="K11" s="4" t="s">
        <v>516</v>
      </c>
      <c r="L11" s="6">
        <v>33</v>
      </c>
    </row>
    <row r="12" spans="1:12" ht="14.25" customHeight="1">
      <c r="A12" s="4" t="s">
        <v>630</v>
      </c>
      <c r="B12" s="4" t="s">
        <v>577</v>
      </c>
      <c r="C12" s="4" t="s">
        <v>496</v>
      </c>
      <c r="D12" s="4" t="s">
        <v>513</v>
      </c>
      <c r="E12" s="4" t="s">
        <v>511</v>
      </c>
      <c r="F12" s="4" t="s">
        <v>634</v>
      </c>
      <c r="G12" s="6">
        <v>0.10</v>
      </c>
      <c r="H12" s="6">
        <v>50</v>
      </c>
      <c r="I12" s="4" t="s">
        <v>582</v>
      </c>
      <c r="J12" s="4" t="s">
        <v>515</v>
      </c>
      <c r="K12" s="4" t="s">
        <v>516</v>
      </c>
      <c r="L12" s="6">
        <v>47</v>
      </c>
    </row>
    <row r="13" spans="1:12" ht="14.25" customHeight="1">
      <c r="A13" s="4" t="s">
        <v>636</v>
      </c>
      <c r="B13" s="4" t="s">
        <v>577</v>
      </c>
      <c r="C13" s="4" t="s">
        <v>496</v>
      </c>
      <c r="D13" s="4" t="s">
        <v>513</v>
      </c>
      <c r="E13" s="4" t="s">
        <v>511</v>
      </c>
      <c r="F13" s="4" t="s">
        <v>641</v>
      </c>
      <c r="G13" s="6">
        <v>0.10</v>
      </c>
      <c r="H13" s="6">
        <v>50</v>
      </c>
      <c r="I13" s="4" t="s">
        <v>582</v>
      </c>
      <c r="J13" s="4" t="s">
        <v>515</v>
      </c>
      <c r="K13" s="4" t="s">
        <v>516</v>
      </c>
      <c r="L13" s="6">
        <v>68</v>
      </c>
    </row>
    <row r="14" spans="1:12" ht="14.25" customHeight="1">
      <c r="A14" s="4" t="s">
        <v>642</v>
      </c>
      <c r="B14" s="4" t="s">
        <v>577</v>
      </c>
      <c r="C14" s="4" t="s">
        <v>496</v>
      </c>
      <c r="D14" s="4" t="s">
        <v>513</v>
      </c>
      <c r="E14" s="4" t="s">
        <v>511</v>
      </c>
      <c r="F14" s="4" t="s">
        <v>644</v>
      </c>
      <c r="G14" s="6">
        <v>0.10</v>
      </c>
      <c r="H14" s="6">
        <v>50</v>
      </c>
      <c r="I14" s="4" t="s">
        <v>582</v>
      </c>
      <c r="J14" s="4" t="s">
        <v>515</v>
      </c>
      <c r="K14" s="4" t="s">
        <v>516</v>
      </c>
      <c r="L14" s="6">
        <v>100</v>
      </c>
    </row>
    <row r="15" spans="1:12" ht="14.25" customHeight="1">
      <c r="A15" s="4" t="s">
        <v>649</v>
      </c>
      <c r="B15" s="4" t="s">
        <v>577</v>
      </c>
      <c r="C15" s="4" t="s">
        <v>496</v>
      </c>
      <c r="D15" s="4" t="s">
        <v>513</v>
      </c>
      <c r="E15" s="4" t="s">
        <v>511</v>
      </c>
      <c r="F15" s="4" t="s">
        <v>651</v>
      </c>
      <c r="G15" s="6">
        <v>0.10</v>
      </c>
      <c r="H15" s="6">
        <v>50</v>
      </c>
      <c r="I15" s="4" t="s">
        <v>582</v>
      </c>
      <c r="J15" s="4" t="s">
        <v>515</v>
      </c>
      <c r="K15" s="4" t="s">
        <v>516</v>
      </c>
      <c r="L15" s="6">
        <v>150</v>
      </c>
    </row>
    <row r="16" spans="1:12" ht="14.25" customHeight="1">
      <c r="A16" s="4" t="s">
        <v>654</v>
      </c>
      <c r="B16" s="4" t="s">
        <v>577</v>
      </c>
      <c r="C16" s="4" t="s">
        <v>496</v>
      </c>
      <c r="D16" s="4" t="s">
        <v>513</v>
      </c>
      <c r="E16" s="4" t="s">
        <v>511</v>
      </c>
      <c r="F16" s="4" t="s">
        <v>657</v>
      </c>
      <c r="G16" s="6">
        <v>0.10</v>
      </c>
      <c r="H16" s="6">
        <v>50</v>
      </c>
      <c r="I16" s="4" t="s">
        <v>582</v>
      </c>
      <c r="J16" s="4" t="s">
        <v>515</v>
      </c>
      <c r="K16" s="4" t="s">
        <v>516</v>
      </c>
      <c r="L16" s="6">
        <v>220</v>
      </c>
    </row>
    <row r="17" spans="1:12" ht="14.25" customHeight="1">
      <c r="A17" s="4" t="s">
        <v>660</v>
      </c>
      <c r="B17" s="4" t="s">
        <v>577</v>
      </c>
      <c r="C17" s="4" t="s">
        <v>496</v>
      </c>
      <c r="D17" s="4" t="s">
        <v>513</v>
      </c>
      <c r="E17" s="4" t="s">
        <v>511</v>
      </c>
      <c r="F17" s="4" t="s">
        <v>663</v>
      </c>
      <c r="G17" s="6">
        <v>0.10</v>
      </c>
      <c r="H17" s="6">
        <v>50</v>
      </c>
      <c r="I17" s="4" t="s">
        <v>582</v>
      </c>
      <c r="J17" s="4" t="s">
        <v>515</v>
      </c>
      <c r="K17" s="4" t="s">
        <v>516</v>
      </c>
      <c r="L17" s="6">
        <v>330</v>
      </c>
    </row>
    <row r="18" spans="1:12" ht="14.25" customHeight="1">
      <c r="A18" s="4" t="s">
        <v>667</v>
      </c>
      <c r="B18" s="4" t="s">
        <v>577</v>
      </c>
      <c r="C18" s="4" t="s">
        <v>496</v>
      </c>
      <c r="D18" s="4" t="s">
        <v>513</v>
      </c>
      <c r="E18" s="4" t="s">
        <v>511</v>
      </c>
      <c r="F18" s="4" t="s">
        <v>670</v>
      </c>
      <c r="G18" s="6">
        <v>0.10</v>
      </c>
      <c r="H18" s="6">
        <v>50</v>
      </c>
      <c r="I18" s="4" t="s">
        <v>582</v>
      </c>
      <c r="J18" s="4" t="s">
        <v>515</v>
      </c>
      <c r="K18" s="4" t="s">
        <v>516</v>
      </c>
      <c r="L18" s="6">
        <v>470</v>
      </c>
    </row>
    <row r="19" spans="1:12" ht="14.25" customHeight="1">
      <c r="A19" s="4" t="s">
        <v>675</v>
      </c>
      <c r="B19" s="4" t="s">
        <v>577</v>
      </c>
      <c r="C19" s="4" t="s">
        <v>496</v>
      </c>
      <c r="D19" s="4" t="s">
        <v>513</v>
      </c>
      <c r="E19" s="4" t="s">
        <v>511</v>
      </c>
      <c r="F19" s="4" t="s">
        <v>678</v>
      </c>
      <c r="G19" s="6">
        <v>0.10</v>
      </c>
      <c r="H19" s="6">
        <v>50</v>
      </c>
      <c r="I19" s="4" t="s">
        <v>582</v>
      </c>
      <c r="J19" s="4" t="s">
        <v>515</v>
      </c>
      <c r="K19" s="4" t="s">
        <v>516</v>
      </c>
      <c r="L19" s="6">
        <v>680</v>
      </c>
    </row>
    <row r="20" spans="1:12" ht="14.25" customHeight="1">
      <c r="A20" s="4" t="s">
        <v>682</v>
      </c>
      <c r="B20" s="4" t="s">
        <v>577</v>
      </c>
      <c r="C20" s="4" t="s">
        <v>496</v>
      </c>
      <c r="D20" s="4" t="s">
        <v>513</v>
      </c>
      <c r="E20" s="4" t="s">
        <v>511</v>
      </c>
      <c r="F20" s="4" t="s">
        <v>687</v>
      </c>
      <c r="G20" s="6">
        <v>0.10</v>
      </c>
      <c r="H20" s="6">
        <v>50</v>
      </c>
      <c r="I20" s="4" t="s">
        <v>582</v>
      </c>
      <c r="J20" s="4" t="s">
        <v>515</v>
      </c>
      <c r="K20" s="4" t="s">
        <v>516</v>
      </c>
      <c r="L20" s="6">
        <v>1000</v>
      </c>
    </row>
    <row r="21" spans="1:14" ht="14.25" customHeight="1">
      <c r="A21" s="4" t="s">
        <v>690</v>
      </c>
      <c r="B21" s="6" t="s">
        <v>691</v>
      </c>
      <c r="C21" s="4" t="s">
        <v>496</v>
      </c>
      <c r="D21" s="4" t="s">
        <v>513</v>
      </c>
      <c r="E21" s="4" t="s">
        <v>511</v>
      </c>
      <c r="F21" s="4" t="s">
        <v>692</v>
      </c>
      <c r="G21" s="6">
        <v>20</v>
      </c>
      <c r="H21" s="6">
        <v>10</v>
      </c>
      <c r="I21" s="6" t="s">
        <v>696</v>
      </c>
      <c r="J21" s="4" t="s">
        <v>697</v>
      </c>
      <c r="K21" s="6" t="s">
        <v>699</v>
      </c>
      <c r="L21" s="6">
        <v>2200</v>
      </c>
      <c r="M21" s="4" t="s">
        <v>700</v>
      </c>
      <c r="N21" s="6" t="s">
        <v>701</v>
      </c>
    </row>
    <row r="22" spans="1:16" ht="14.25" customHeight="1">
      <c r="A22" s="6" t="s">
        <v>703</v>
      </c>
      <c r="B22" s="6" t="s">
        <v>705</v>
      </c>
      <c r="C22" s="4" t="s">
        <v>496</v>
      </c>
      <c r="D22" s="4" t="s">
        <v>513</v>
      </c>
      <c r="E22" s="4" t="s">
        <v>511</v>
      </c>
      <c r="F22" s="4" t="s">
        <v>687</v>
      </c>
      <c r="G22" s="6">
        <v>20</v>
      </c>
      <c r="H22" s="6">
        <v>25</v>
      </c>
      <c r="I22" s="6" t="s">
        <v>710</v>
      </c>
      <c r="J22" s="4" t="s">
        <v>711</v>
      </c>
      <c r="K22" s="6" t="s">
        <v>713</v>
      </c>
      <c r="L22" s="6">
        <v>1000</v>
      </c>
      <c r="P22" s="6" t="s">
        <v>45</v>
      </c>
    </row>
    <row r="23" spans="1:16" ht="14.25" customHeight="1">
      <c r="A23" s="6" t="s">
        <v>714</v>
      </c>
      <c r="B23" s="6" t="s">
        <v>705</v>
      </c>
      <c r="C23" s="4" t="s">
        <v>496</v>
      </c>
      <c r="D23" s="4" t="s">
        <v>513</v>
      </c>
      <c r="E23" s="4" t="s">
        <v>511</v>
      </c>
      <c r="F23" s="4" t="s">
        <v>687</v>
      </c>
      <c r="G23" s="6">
        <v>20</v>
      </c>
      <c r="H23" s="6">
        <v>35</v>
      </c>
      <c r="I23" s="6" t="s">
        <v>710</v>
      </c>
      <c r="J23" s="4" t="s">
        <v>720</v>
      </c>
      <c r="K23" s="6" t="s">
        <v>722</v>
      </c>
      <c r="L23" s="6">
        <v>1000</v>
      </c>
      <c r="P23" s="6" t="s">
        <v>45</v>
      </c>
    </row>
    <row r="24" spans="1:16" ht="14.25" customHeight="1">
      <c r="A24" s="6" t="s">
        <v>723</v>
      </c>
      <c r="B24" s="6" t="s">
        <v>725</v>
      </c>
      <c r="C24" s="4" t="s">
        <v>496</v>
      </c>
      <c r="D24" s="4" t="s">
        <v>513</v>
      </c>
      <c r="E24" s="4" t="s">
        <v>511</v>
      </c>
      <c r="F24" s="6" t="s">
        <v>727</v>
      </c>
      <c r="G24" s="6">
        <v>20</v>
      </c>
      <c r="H24" s="6">
        <v>400</v>
      </c>
      <c r="I24" s="6" t="s">
        <v>696</v>
      </c>
      <c r="J24" s="4" t="s">
        <v>729</v>
      </c>
      <c r="K24" s="6" t="s">
        <v>731</v>
      </c>
      <c r="L24" s="6">
        <v>3.30</v>
      </c>
      <c r="M24" s="4" t="s">
        <v>733</v>
      </c>
      <c r="N24" s="6" t="s">
        <v>734</v>
      </c>
      <c r="P24" s="6" t="s">
        <v>45</v>
      </c>
    </row>
    <row r="25" spans="1:16" ht="14.25" customHeight="1">
      <c r="A25" s="6" t="s">
        <v>737</v>
      </c>
      <c r="B25" s="6" t="s">
        <v>738</v>
      </c>
      <c r="C25" s="4" t="s">
        <v>496</v>
      </c>
      <c r="D25" s="4" t="s">
        <v>513</v>
      </c>
      <c r="E25" s="4" t="s">
        <v>511</v>
      </c>
      <c r="F25" s="6" t="s">
        <v>740</v>
      </c>
      <c r="G25" s="6">
        <v>20</v>
      </c>
      <c r="H25" s="6">
        <v>400</v>
      </c>
      <c r="I25" s="6" t="s">
        <v>696</v>
      </c>
      <c r="J25" s="4" t="s">
        <v>743</v>
      </c>
      <c r="K25" s="6" t="s">
        <v>744</v>
      </c>
      <c r="L25" s="6">
        <v>2700</v>
      </c>
      <c r="P25" s="6" t="s">
        <v>45</v>
      </c>
    </row>
    <row r="26" spans="1:12" ht="14.25" customHeight="1">
      <c r="A26" s="6" t="s">
        <v>747</v>
      </c>
      <c r="B26" s="6" t="s">
        <v>705</v>
      </c>
      <c r="C26" s="6" t="s">
        <v>496</v>
      </c>
      <c r="D26" s="6" t="s">
        <v>513</v>
      </c>
      <c r="E26" s="6" t="s">
        <v>511</v>
      </c>
      <c r="F26" s="6" t="s">
        <v>663</v>
      </c>
      <c r="G26" s="6">
        <v>20</v>
      </c>
      <c r="H26" s="6">
        <v>35</v>
      </c>
      <c r="I26" s="6" t="s">
        <v>710</v>
      </c>
      <c r="J26" s="6" t="s">
        <v>750</v>
      </c>
      <c r="K26" s="6" t="s">
        <v>751</v>
      </c>
      <c r="L26" s="6">
        <v>330</v>
      </c>
    </row>
    <row r="27" spans="1:12" ht="14.25" customHeight="1">
      <c r="A27" s="6" t="s">
        <v>754</v>
      </c>
      <c r="B27" s="6" t="s">
        <v>756</v>
      </c>
      <c r="C27" s="6" t="s">
        <v>496</v>
      </c>
      <c r="D27" s="6" t="s">
        <v>513</v>
      </c>
      <c r="E27" s="6" t="s">
        <v>511</v>
      </c>
      <c r="F27" s="6" t="s">
        <v>644</v>
      </c>
      <c r="G27" s="6">
        <v>20</v>
      </c>
      <c r="H27" s="6">
        <v>35</v>
      </c>
      <c r="I27" s="6" t="s">
        <v>710</v>
      </c>
      <c r="J27" s="6" t="s">
        <v>759</v>
      </c>
      <c r="K27" s="6" t="s">
        <v>760</v>
      </c>
      <c r="L27" s="6">
        <v>100</v>
      </c>
    </row>
    <row r="28" spans="1:16" ht="14.25" customHeight="1">
      <c r="A28" s="6" t="s">
        <v>762</v>
      </c>
      <c r="B28" s="6" t="s">
        <v>763</v>
      </c>
      <c r="D28" s="6" t="s">
        <v>513</v>
      </c>
      <c r="E28" s="6" t="s">
        <v>511</v>
      </c>
      <c r="F28" s="6" t="s">
        <v>670</v>
      </c>
      <c r="G28" s="6">
        <v>20</v>
      </c>
      <c r="H28" s="6">
        <v>16</v>
      </c>
      <c r="I28" s="6" t="s">
        <v>710</v>
      </c>
      <c r="J28" s="6" t="s">
        <v>750</v>
      </c>
      <c r="K28" s="6" t="s">
        <v>751</v>
      </c>
      <c r="L28" s="6">
        <v>470</v>
      </c>
      <c r="O28" s="6" t="s">
        <v>770</v>
      </c>
      <c r="P28" s="6" t="s">
        <v>45</v>
      </c>
    </row>
    <row r="29" spans="1:16" ht="14.25" customHeight="1">
      <c r="A29" s="6" t="s">
        <v>771</v>
      </c>
      <c r="B29" s="6" t="s">
        <v>772</v>
      </c>
      <c r="C29" s="6" t="s">
        <v>496</v>
      </c>
      <c r="D29" s="6" t="s">
        <v>513</v>
      </c>
      <c r="E29" s="6" t="s">
        <v>511</v>
      </c>
      <c r="F29" s="6" t="s">
        <v>775</v>
      </c>
      <c r="G29" s="6">
        <v>20</v>
      </c>
      <c r="H29" s="6">
        <v>35</v>
      </c>
      <c r="I29" s="6" t="s">
        <v>710</v>
      </c>
      <c r="J29" s="6" t="s">
        <v>776</v>
      </c>
      <c r="K29" s="6" t="s">
        <v>777</v>
      </c>
      <c r="L29" s="6">
        <v>120</v>
      </c>
      <c r="O29" s="14" t="s">
        <v>780</v>
      </c>
      <c r="P29" s="6" t="s">
        <v>64</v>
      </c>
    </row>
    <row r="30" spans="1:16" ht="14.25" customHeight="1">
      <c r="A30" s="6" t="s">
        <v>786</v>
      </c>
      <c r="B30" s="6" t="s">
        <v>788</v>
      </c>
      <c r="C30" s="6" t="s">
        <v>496</v>
      </c>
      <c r="D30" s="6" t="s">
        <v>513</v>
      </c>
      <c r="E30" s="6" t="s">
        <v>511</v>
      </c>
      <c r="F30" s="6" t="s">
        <v>641</v>
      </c>
      <c r="G30" s="6">
        <v>20</v>
      </c>
      <c r="H30" s="6">
        <v>50</v>
      </c>
      <c r="I30" s="6" t="s">
        <v>710</v>
      </c>
      <c r="J30" s="6" t="s">
        <v>776</v>
      </c>
      <c r="K30" s="6" t="s">
        <v>777</v>
      </c>
      <c r="L30" s="6">
        <v>68</v>
      </c>
      <c r="O30" s="14" t="s">
        <v>795</v>
      </c>
      <c r="P30" s="6" t="s">
        <v>64</v>
      </c>
    </row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5AAEAC81-B1BD-4020-AD51-E0B5ED9EB715}" filter="1" showAutoFilter="1" topLeftCell="A1">
      <pageMargins left="0.75" right="0.75" top="1" bottom="1" header="0.5" footer="0.5"/>
      <autoFilter ref="A1:P30"/>
    </customSheetView>
  </customSheetViews>
  <hyperlinks>
    <hyperlink ref="O29" r:id="rId1" display="https://cdn.promelec.ru/upload/datasheet/6/a/AAB8000C177.pdf"/>
    <hyperlink ref="O30" r:id="rId2" display="http://cdn.promelec.ru/upload/items/2022/11/10/SVPF-Series_.pdf"/>
  </hyperlinks>
  <pageMargins left="0.7" right="0.7" top="0.75" bottom="0.75" header="0" footer="0"/>
  <pageSetup orientation="landscape" paperSize="1"/>
  <tableParts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A00-000000000000}">
  <dimension ref="A1:R1000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14.7142857142857" customWidth="1"/>
    <col min="2" max="2" width="77.7142857142857" customWidth="1"/>
    <col min="3" max="3" width="12" customWidth="1"/>
    <col min="4" max="4" width="27.2857142857143" customWidth="1"/>
    <col min="5" max="5" width="12.7142857142857" customWidth="1"/>
    <col min="6" max="6" width="36.2857142857143" customWidth="1"/>
    <col min="7" max="7" width="16.7142857142857" customWidth="1"/>
    <col min="8" max="8" width="18.2857142857143" customWidth="1"/>
    <col min="9" max="9" width="16.7142857142857" customWidth="1"/>
    <col min="10" max="10" width="18.2857142857143" customWidth="1"/>
    <col min="11" max="11" width="16.7142857142857" customWidth="1"/>
    <col min="12" max="12" width="18.2857142857143" customWidth="1"/>
    <col min="13" max="13" width="16.7142857142857" customWidth="1"/>
    <col min="14" max="14" width="18" customWidth="1"/>
    <col min="15" max="15" width="13.5714285714286" customWidth="1"/>
    <col min="16" max="16" width="8.57142857142857" customWidth="1"/>
    <col min="17" max="17" width="12.2857142857143" customWidth="1"/>
    <col min="18" max="26" width="8.71428571428571" customWidth="1"/>
  </cols>
  <sheetData>
    <row r="1" spans="1:18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487</v>
      </c>
      <c r="M1" s="1" t="s">
        <v>489</v>
      </c>
      <c r="N1" s="52" t="s">
        <v>658</v>
      </c>
      <c r="O1" s="1" t="s">
        <v>14</v>
      </c>
      <c r="P1" s="1" t="s">
        <v>16</v>
      </c>
      <c r="Q1" s="1" t="s">
        <v>11</v>
      </c>
      <c r="R1" s="53" t="s">
        <v>13</v>
      </c>
    </row>
    <row r="2" spans="1:16" ht="14.25" customHeight="1">
      <c r="A2" s="4" t="s">
        <v>666</v>
      </c>
      <c r="B2" s="4" t="s">
        <v>668</v>
      </c>
      <c r="C2" s="4" t="str">
        <f t="shared" si="0" ref="C2:C10">A2</f>
        <v>Inductance</v>
      </c>
      <c r="D2" s="4" t="s">
        <v>674</v>
      </c>
      <c r="E2" s="4" t="s">
        <v>666</v>
      </c>
      <c r="F2" s="4" t="str">
        <f t="shared" si="1" ref="F2:F30">CONCATENATE("Footprints\Inductance\",G2,".PcbLib")</f>
        <v>Footprints\Inductance\0603L.PcbLib</v>
      </c>
      <c r="G2" s="4" t="s">
        <v>680</v>
      </c>
      <c r="H2" s="4" t="str">
        <f>CONCATENATE("Footprints\Inductance\",I2,".PcbLib")</f>
        <v>Footprints\Inductance\1210L.PcbLib</v>
      </c>
      <c r="I2" s="4" t="s">
        <v>684</v>
      </c>
      <c r="J2" s="4" t="str">
        <f>CONCATENATE("Footprints\Inductance\",K2,".PcbLib")</f>
        <v>Footprints\Inductance\1212L.PcbLib</v>
      </c>
      <c r="K2" s="4" t="s">
        <v>689</v>
      </c>
      <c r="L2" s="4" t="str">
        <f>CONCATENATE("Footprints\Inductance\",M2,".PcbLib")</f>
        <v>Footprints\Inductance\12.8x12.8.PcbLib</v>
      </c>
      <c r="M2" s="4" t="s">
        <v>694</v>
      </c>
      <c r="N2" s="9"/>
      <c r="O2" s="4"/>
      <c r="P2" s="4"/>
    </row>
    <row r="3" spans="1:16" ht="14.25" customHeight="1">
      <c r="A3" s="4" t="s">
        <v>706</v>
      </c>
      <c r="B3" s="4" t="s">
        <v>707</v>
      </c>
      <c r="C3" s="4" t="str">
        <f t="shared" si="0"/>
        <v>IHLP4040DZER330M11</v>
      </c>
      <c r="D3" s="4" t="s">
        <v>674</v>
      </c>
      <c r="E3" s="4" t="s">
        <v>666</v>
      </c>
      <c r="F3" s="4" t="str">
        <f t="shared" si="1"/>
        <v>Footprints\Inductance\IHLP-4040.PcbLib</v>
      </c>
      <c r="G3" s="4" t="s">
        <v>715</v>
      </c>
      <c r="H3" s="4"/>
      <c r="I3" s="4"/>
      <c r="J3" s="4"/>
      <c r="K3" s="4"/>
      <c r="L3" s="4"/>
      <c r="M3" s="4"/>
      <c r="N3" s="9">
        <v>33</v>
      </c>
      <c r="O3" s="4" t="s">
        <v>724</v>
      </c>
      <c r="P3" s="4" t="str">
        <f t="shared" si="2" ref="P3:P10">CONCATENATE(N3," мк")</f>
        <v>33 мк</v>
      </c>
    </row>
    <row r="4" spans="1:16" ht="14.25" customHeight="1">
      <c r="A4" s="4" t="s">
        <v>732</v>
      </c>
      <c r="B4" s="4" t="str">
        <f>CONCATENATE("Индуктивность на ",P4,"Гн, номинальный ток ",O4," A")</f>
        <v>Индуктивность на 68 мкГн, номинальный ток 0,82 А A</v>
      </c>
      <c r="C4" s="4" t="str">
        <f t="shared" si="0"/>
        <v>B82472G6683M</v>
      </c>
      <c r="D4" s="4" t="s">
        <v>674</v>
      </c>
      <c r="E4" s="4" t="s">
        <v>666</v>
      </c>
      <c r="F4" s="4" t="str">
        <f t="shared" si="1"/>
        <v>Footprints\Inductance\7.3x7.3.PcbLib</v>
      </c>
      <c r="G4" s="4" t="s">
        <v>749</v>
      </c>
      <c r="H4" s="4"/>
      <c r="I4" s="4"/>
      <c r="J4" s="4"/>
      <c r="K4" s="4"/>
      <c r="L4" s="4"/>
      <c r="M4" s="4"/>
      <c r="N4" s="9">
        <v>68</v>
      </c>
      <c r="O4" s="4" t="s">
        <v>758</v>
      </c>
      <c r="P4" s="4" t="str">
        <f t="shared" si="2"/>
        <v>68 мк</v>
      </c>
    </row>
    <row r="5" spans="1:16" ht="14.25" customHeight="1">
      <c r="A5" s="6" t="s">
        <v>764</v>
      </c>
      <c r="B5" s="6" t="s">
        <v>765</v>
      </c>
      <c r="C5" s="6" t="str">
        <f t="shared" si="0"/>
        <v>IHLP2525CZER4R7M01</v>
      </c>
      <c r="D5" s="4" t="s">
        <v>674</v>
      </c>
      <c r="E5" s="4" t="s">
        <v>666</v>
      </c>
      <c r="F5" s="4" t="str">
        <f t="shared" si="1"/>
        <v>Footprints\Inductance\IHLP-2525.PcbLib</v>
      </c>
      <c r="G5" s="4" t="s">
        <v>774</v>
      </c>
      <c r="H5" s="4" t="str">
        <f t="shared" si="3" ref="H5:H30">CONCATENATE("Footprints\Inductance\",I5,".PcbLib")</f>
        <v>Footprints\Inductance\.PcbLib</v>
      </c>
      <c r="I5" s="4"/>
      <c r="J5" s="4" t="str">
        <f t="shared" si="4" ref="J5:J30">CONCATENATE("Footprints\Inductance\",K5,".PcbLib")</f>
        <v>Footprints\Inductance\.PcbLib</v>
      </c>
      <c r="K5" s="4"/>
      <c r="L5" s="4" t="str">
        <f t="shared" si="5" ref="L5:L30">CONCATENATE("Footprints\Inductance\",M5,".PcbLib")</f>
        <v>Footprints\Inductance\.PcbLib</v>
      </c>
      <c r="M5" s="4"/>
      <c r="N5" s="9">
        <v>4.70</v>
      </c>
      <c r="O5" s="4" t="s">
        <v>785</v>
      </c>
      <c r="P5" s="6" t="str">
        <f t="shared" si="2"/>
        <v>4,7 мк</v>
      </c>
    </row>
    <row r="6" spans="1:16" ht="14.25" customHeight="1">
      <c r="A6" s="6" t="s">
        <v>789</v>
      </c>
      <c r="B6" s="6" t="s">
        <v>790</v>
      </c>
      <c r="C6" s="6" t="str">
        <f t="shared" si="0"/>
        <v>IHLP4040DZER220M11</v>
      </c>
      <c r="D6" s="4" t="s">
        <v>674</v>
      </c>
      <c r="E6" s="4" t="s">
        <v>666</v>
      </c>
      <c r="F6" s="4" t="str">
        <f t="shared" si="1"/>
        <v>Footprints\Inductance\IHLP-4040.PcbLib</v>
      </c>
      <c r="G6" s="4" t="s">
        <v>715</v>
      </c>
      <c r="H6" s="4" t="str">
        <f t="shared" si="3"/>
        <v>Footprints\Inductance\.PcbLib</v>
      </c>
      <c r="I6" s="4"/>
      <c r="J6" s="4" t="str">
        <f t="shared" si="4"/>
        <v>Footprints\Inductance\.PcbLib</v>
      </c>
      <c r="K6" s="4"/>
      <c r="L6" s="4" t="str">
        <f t="shared" si="5"/>
        <v>Footprints\Inductance\.PcbLib</v>
      </c>
      <c r="M6" s="4"/>
      <c r="N6" s="9">
        <v>22</v>
      </c>
      <c r="O6" s="4" t="s">
        <v>130</v>
      </c>
      <c r="P6" s="6" t="str">
        <f t="shared" si="2"/>
        <v>22 мк</v>
      </c>
    </row>
    <row r="7" spans="1:16" ht="14.25" customHeight="1">
      <c r="A7" s="6" t="s">
        <v>798</v>
      </c>
      <c r="B7" s="6" t="s">
        <v>800</v>
      </c>
      <c r="C7" s="6" t="str">
        <f t="shared" si="0"/>
        <v>B82462G4223M</v>
      </c>
      <c r="D7" s="4" t="s">
        <v>674</v>
      </c>
      <c r="E7" s="4" t="s">
        <v>666</v>
      </c>
      <c r="F7" s="4" t="str">
        <f t="shared" si="1"/>
        <v>Footprints\Inductance\B82462G4.PcbLib</v>
      </c>
      <c r="G7" s="4" t="s">
        <v>801</v>
      </c>
      <c r="H7" s="4" t="str">
        <f t="shared" si="3"/>
        <v>Footprints\Inductance\.PcbLib</v>
      </c>
      <c r="I7" s="4"/>
      <c r="J7" s="4" t="str">
        <f t="shared" si="4"/>
        <v>Footprints\Inductance\.PcbLib</v>
      </c>
      <c r="K7" s="4"/>
      <c r="L7" s="4" t="str">
        <f t="shared" si="5"/>
        <v>Footprints\Inductance\.PcbLib</v>
      </c>
      <c r="M7" s="4"/>
      <c r="N7" s="9">
        <v>22</v>
      </c>
      <c r="O7" s="4" t="s">
        <v>807</v>
      </c>
      <c r="P7" s="6" t="str">
        <f t="shared" si="2"/>
        <v>22 мк</v>
      </c>
    </row>
    <row r="8" spans="1:16" ht="14.25" customHeight="1">
      <c r="A8" s="6" t="s">
        <v>809</v>
      </c>
      <c r="B8" s="6" t="s">
        <v>811</v>
      </c>
      <c r="C8" s="6" t="str">
        <f t="shared" si="0"/>
        <v>CSAB0530-R33M</v>
      </c>
      <c r="D8" s="4" t="s">
        <v>674</v>
      </c>
      <c r="E8" s="4" t="s">
        <v>666</v>
      </c>
      <c r="F8" s="4" t="str">
        <f t="shared" si="1"/>
        <v>Footprints\Inductance\CSAB0530.PcbLib</v>
      </c>
      <c r="G8" s="4" t="s">
        <v>815</v>
      </c>
      <c r="H8" s="4" t="str">
        <f t="shared" si="3"/>
        <v>Footprints\Inductance\.PcbLib</v>
      </c>
      <c r="I8" s="4"/>
      <c r="J8" s="4" t="str">
        <f t="shared" si="4"/>
        <v>Footprints\Inductance\.PcbLib</v>
      </c>
      <c r="K8" s="4"/>
      <c r="L8" s="4" t="str">
        <f t="shared" si="5"/>
        <v>Footprints\Inductance\.PcbLib</v>
      </c>
      <c r="M8" s="4"/>
      <c r="N8" s="9">
        <v>0.33</v>
      </c>
      <c r="O8" s="4" t="s">
        <v>819</v>
      </c>
      <c r="P8" s="6" t="str">
        <f t="shared" si="2"/>
        <v>0,33 мк</v>
      </c>
    </row>
    <row r="9" spans="1:16" ht="14.25" customHeight="1">
      <c r="A9" s="6" t="s">
        <v>820</v>
      </c>
      <c r="B9" s="4" t="str">
        <f t="shared" si="6" ref="B9:B10">CONCATENATE("Индуктивность на ",P9,"Гн, номинальный ток ",O9," A")</f>
        <v>Индуктивность на 68 мкГн, номинальный ток 2,65 А A</v>
      </c>
      <c r="C9" s="6" t="str">
        <f t="shared" si="0"/>
        <v>B82477R4683M100</v>
      </c>
      <c r="D9" s="4" t="s">
        <v>674</v>
      </c>
      <c r="E9" s="4" t="s">
        <v>666</v>
      </c>
      <c r="F9" s="4" t="str">
        <f t="shared" si="1"/>
        <v>Footprints\Inductance\12.5x12.5.PcbLib</v>
      </c>
      <c r="G9" s="4" t="s">
        <v>826</v>
      </c>
      <c r="H9" s="4" t="str">
        <f t="shared" si="3"/>
        <v>Footprints\Inductance\.PcbLib</v>
      </c>
      <c r="I9" s="4"/>
      <c r="J9" s="4" t="str">
        <f t="shared" si="4"/>
        <v>Footprints\Inductance\.PcbLib</v>
      </c>
      <c r="K9" s="4"/>
      <c r="L9" s="4" t="str">
        <f t="shared" si="5"/>
        <v>Footprints\Inductance\.PcbLib</v>
      </c>
      <c r="M9" s="4"/>
      <c r="N9" s="9">
        <v>68</v>
      </c>
      <c r="O9" s="4" t="s">
        <v>832</v>
      </c>
      <c r="P9" s="4" t="str">
        <f t="shared" si="2"/>
        <v>68 мк</v>
      </c>
    </row>
    <row r="10" spans="1:16" ht="14.25" customHeight="1">
      <c r="A10" s="6" t="s">
        <v>834</v>
      </c>
      <c r="B10" s="4" t="str">
        <f t="shared" si="6"/>
        <v>Индуктивность на 12 мкГн, номинальный ток 1,05 А A</v>
      </c>
      <c r="C10" s="6" t="str">
        <f t="shared" si="0"/>
        <v>SDR0403-120ML</v>
      </c>
      <c r="D10" s="4" t="s">
        <v>674</v>
      </c>
      <c r="E10" s="4" t="s">
        <v>666</v>
      </c>
      <c r="F10" s="4" t="str">
        <f t="shared" si="1"/>
        <v>Footprints\Inductance\4.5x4_wired.PcbLib</v>
      </c>
      <c r="G10" s="4" t="s">
        <v>837</v>
      </c>
      <c r="H10" s="4" t="str">
        <f t="shared" si="3"/>
        <v>Footprints\Inductance\.PcbLib</v>
      </c>
      <c r="I10" s="4"/>
      <c r="J10" s="4" t="str">
        <f t="shared" si="4"/>
        <v>Footprints\Inductance\.PcbLib</v>
      </c>
      <c r="K10" s="4"/>
      <c r="L10" s="4" t="str">
        <f t="shared" si="5"/>
        <v>Footprints\Inductance\.PcbLib</v>
      </c>
      <c r="M10" s="4"/>
      <c r="N10" s="9">
        <v>12</v>
      </c>
      <c r="O10" s="6" t="s">
        <v>807</v>
      </c>
      <c r="P10" s="4" t="str">
        <f t="shared" si="2"/>
        <v>12 мк</v>
      </c>
    </row>
    <row r="11" spans="1:18" ht="14.25" customHeight="1">
      <c r="A11" s="6" t="s">
        <v>843</v>
      </c>
      <c r="B11" s="6" t="s">
        <v>845</v>
      </c>
      <c r="C11" s="6" t="s">
        <v>847</v>
      </c>
      <c r="D11" s="4" t="s">
        <v>848</v>
      </c>
      <c r="E11" s="4" t="s">
        <v>843</v>
      </c>
      <c r="F11" s="4" t="str">
        <f t="shared" si="1"/>
        <v>Footprints\Inductance\M20VN.PcbLib</v>
      </c>
      <c r="G11" s="4" t="s">
        <v>843</v>
      </c>
      <c r="H11" s="4" t="str">
        <f t="shared" si="3"/>
        <v>Footprints\Inductance\.PcbLib</v>
      </c>
      <c r="I11" s="4"/>
      <c r="J11" s="4" t="str">
        <f t="shared" si="4"/>
        <v>Footprints\Inductance\.PcbLib</v>
      </c>
      <c r="K11" s="4"/>
      <c r="L11" s="4" t="str">
        <f t="shared" si="5"/>
        <v>Footprints\Inductance\.PcbLib</v>
      </c>
      <c r="M11" s="4"/>
      <c r="N11" s="9">
        <v>1.20</v>
      </c>
      <c r="O11" s="6" t="s">
        <v>819</v>
      </c>
      <c r="P11" s="6" t="s">
        <v>856</v>
      </c>
      <c r="R11" s="6" t="s">
        <v>45</v>
      </c>
    </row>
    <row r="12" spans="1:16" ht="14.25" customHeight="1">
      <c r="A12" s="6" t="s">
        <v>858</v>
      </c>
      <c r="B12" s="6" t="s">
        <v>859</v>
      </c>
      <c r="C12" s="6" t="str">
        <f t="shared" si="7" ref="C12:C30">A12</f>
        <v>IHLP4040DZER470M11</v>
      </c>
      <c r="D12" s="4" t="s">
        <v>674</v>
      </c>
      <c r="E12" s="4" t="s">
        <v>666</v>
      </c>
      <c r="F12" s="4" t="str">
        <f t="shared" si="1"/>
        <v>Footprints\Inductance\IHLP-4040.PcbLib</v>
      </c>
      <c r="G12" s="4" t="s">
        <v>715</v>
      </c>
      <c r="H12" s="4" t="str">
        <f t="shared" si="3"/>
        <v>Footprints\Inductance\.PcbLib</v>
      </c>
      <c r="I12" s="4"/>
      <c r="J12" s="4" t="str">
        <f t="shared" si="4"/>
        <v>Footprints\Inductance\.PcbLib</v>
      </c>
      <c r="K12" s="4"/>
      <c r="L12" s="4" t="str">
        <f t="shared" si="5"/>
        <v>Footprints\Inductance\.PcbLib</v>
      </c>
      <c r="M12" s="4"/>
      <c r="N12" s="9">
        <v>47</v>
      </c>
      <c r="O12" s="6" t="s">
        <v>869</v>
      </c>
      <c r="P12" s="4" t="str">
        <f t="shared" si="8" ref="P12:P13">CONCATENATE(N12," мк")</f>
        <v>47 мк</v>
      </c>
    </row>
    <row r="13" spans="1:16" ht="14.25" customHeight="1">
      <c r="A13" s="6" t="s">
        <v>872</v>
      </c>
      <c r="B13" s="6" t="s">
        <v>873</v>
      </c>
      <c r="C13" s="6" t="str">
        <f t="shared" si="7"/>
        <v>IHLP4040DZER101M11</v>
      </c>
      <c r="D13" s="4" t="s">
        <v>674</v>
      </c>
      <c r="E13" s="4" t="s">
        <v>666</v>
      </c>
      <c r="F13" s="4" t="str">
        <f t="shared" si="1"/>
        <v>Footprints\Inductance\IHLP-4040.PcbLib</v>
      </c>
      <c r="G13" s="4" t="s">
        <v>715</v>
      </c>
      <c r="H13" s="4" t="str">
        <f t="shared" si="3"/>
        <v>Footprints\Inductance\.PcbLib</v>
      </c>
      <c r="I13" s="4"/>
      <c r="J13" s="4" t="str">
        <f t="shared" si="4"/>
        <v>Footprints\Inductance\.PcbLib</v>
      </c>
      <c r="K13" s="4"/>
      <c r="L13" s="4" t="str">
        <f t="shared" si="5"/>
        <v>Footprints\Inductance\.PcbLib</v>
      </c>
      <c r="M13" s="4"/>
      <c r="N13" s="9">
        <v>100</v>
      </c>
      <c r="O13" s="6" t="s">
        <v>869</v>
      </c>
      <c r="P13" s="4" t="str">
        <f t="shared" si="8"/>
        <v>100 мк</v>
      </c>
    </row>
    <row r="14" spans="1:18" ht="14.25" customHeight="1">
      <c r="A14" s="6" t="s">
        <v>881</v>
      </c>
      <c r="B14" s="6" t="s">
        <v>882</v>
      </c>
      <c r="C14" s="6" t="str">
        <f t="shared" si="7"/>
        <v>HV_trans</v>
      </c>
      <c r="D14" s="4" t="s">
        <v>884</v>
      </c>
      <c r="E14" s="4" t="s">
        <v>881</v>
      </c>
      <c r="F14" s="4" t="str">
        <f t="shared" si="1"/>
        <v>Footprints\Inductance\EE16_transformer.PcbLib</v>
      </c>
      <c r="G14" s="4" t="s">
        <v>886</v>
      </c>
      <c r="H14" s="4" t="str">
        <f t="shared" si="3"/>
        <v>Footprints\Inductance\.PcbLib</v>
      </c>
      <c r="I14" s="4"/>
      <c r="J14" s="4" t="str">
        <f t="shared" si="4"/>
        <v>Footprints\Inductance\.PcbLib</v>
      </c>
      <c r="K14" s="4"/>
      <c r="L14" s="4" t="str">
        <f t="shared" si="5"/>
        <v>Footprints\Inductance\.PcbLib</v>
      </c>
      <c r="M14" s="4"/>
      <c r="N14" s="9"/>
      <c r="O14" s="6" t="s">
        <v>889</v>
      </c>
      <c r="P14" s="54" t="str">
        <f>N14</f>
        <v/>
      </c>
      <c r="R14" s="6" t="s">
        <v>45</v>
      </c>
    </row>
    <row r="15" spans="1:16" ht="14.25" customHeight="1">
      <c r="A15" s="6" t="s">
        <v>896</v>
      </c>
      <c r="B15" s="6" t="s">
        <v>897</v>
      </c>
      <c r="C15" s="6" t="str">
        <f t="shared" si="7"/>
        <v>CDSPRH127-150M</v>
      </c>
      <c r="D15" s="4" t="s">
        <v>674</v>
      </c>
      <c r="E15" s="4" t="s">
        <v>666</v>
      </c>
      <c r="F15" s="4" t="str">
        <f t="shared" si="1"/>
        <v>Footprints\Inductance\SPRH127.PcbLib</v>
      </c>
      <c r="G15" s="6" t="s">
        <v>899</v>
      </c>
      <c r="H15" s="4" t="str">
        <f t="shared" si="3"/>
        <v>Footprints\Inductance\.PcbLib</v>
      </c>
      <c r="I15" s="4"/>
      <c r="J15" s="4" t="str">
        <f t="shared" si="4"/>
        <v>Footprints\Inductance\.PcbLib</v>
      </c>
      <c r="K15" s="4"/>
      <c r="L15" s="4" t="str">
        <f t="shared" si="5"/>
        <v>Footprints\Inductance\.PcbLib</v>
      </c>
      <c r="M15" s="4"/>
      <c r="N15" s="9">
        <v>15</v>
      </c>
      <c r="O15" s="6" t="s">
        <v>907</v>
      </c>
      <c r="P15" s="6" t="s">
        <v>614</v>
      </c>
    </row>
    <row r="16" spans="1:16" ht="14.25" customHeight="1">
      <c r="A16" s="6" t="s">
        <v>909</v>
      </c>
      <c r="B16" s="6" t="str">
        <f t="shared" si="9" ref="B16:B17">CONCATENATE("Индуктивность на ",P16,"Гн, номинальный ток ",O16," A")</f>
        <v>Индуктивность на 1 мкГн, номинальный ток 4,3 А A</v>
      </c>
      <c r="C16" s="6" t="str">
        <f t="shared" si="7"/>
        <v>CDSP43-1R0M</v>
      </c>
      <c r="D16" s="4" t="s">
        <v>674</v>
      </c>
      <c r="E16" s="4" t="s">
        <v>666</v>
      </c>
      <c r="F16" s="4" t="str">
        <f t="shared" si="1"/>
        <v>Footprints\Inductance\4.5x4_wired.PcbLib</v>
      </c>
      <c r="G16" s="4" t="s">
        <v>837</v>
      </c>
      <c r="H16" s="4" t="str">
        <f t="shared" si="3"/>
        <v>Footprints\Inductance\.PcbLib</v>
      </c>
      <c r="I16" s="4"/>
      <c r="J16" s="4" t="str">
        <f t="shared" si="4"/>
        <v>Footprints\Inductance\.PcbLib</v>
      </c>
      <c r="K16" s="4"/>
      <c r="L16" s="4" t="str">
        <f t="shared" si="5"/>
        <v>Footprints\Inductance\.PcbLib</v>
      </c>
      <c r="M16" s="4"/>
      <c r="N16" s="9">
        <v>1</v>
      </c>
      <c r="O16" s="6" t="s">
        <v>932</v>
      </c>
      <c r="P16" s="6" t="s">
        <v>581</v>
      </c>
    </row>
    <row r="17" spans="1:16" ht="14.25" customHeight="1">
      <c r="A17" s="6" t="s">
        <v>935</v>
      </c>
      <c r="B17" s="6" t="str">
        <f t="shared" si="9"/>
        <v>Индуктивность на 330 мкГн, номинальный ток 1,79 А A</v>
      </c>
      <c r="C17" s="6" t="str">
        <f t="shared" si="7"/>
        <v>CDSPRH127-331M</v>
      </c>
      <c r="D17" s="4" t="s">
        <v>674</v>
      </c>
      <c r="E17" s="4" t="s">
        <v>666</v>
      </c>
      <c r="F17" s="4" t="str">
        <f t="shared" si="1"/>
        <v>Footprints\Inductance\12.8x12.8.PcbLib</v>
      </c>
      <c r="G17" s="4" t="s">
        <v>694</v>
      </c>
      <c r="H17" s="4" t="str">
        <f t="shared" si="3"/>
        <v>Footprints\Inductance\.PcbLib</v>
      </c>
      <c r="I17" s="4"/>
      <c r="J17" s="4" t="str">
        <f t="shared" si="4"/>
        <v>Footprints\Inductance\.PcbLib</v>
      </c>
      <c r="K17" s="4"/>
      <c r="L17" s="4" t="str">
        <f t="shared" si="5"/>
        <v>Footprints\Inductance\.PcbLib</v>
      </c>
      <c r="M17" s="4"/>
      <c r="N17" s="9">
        <v>330</v>
      </c>
      <c r="O17" s="6" t="s">
        <v>945</v>
      </c>
      <c r="P17" s="6" t="s">
        <v>663</v>
      </c>
    </row>
    <row r="18" spans="1:16" ht="14.25" customHeight="1">
      <c r="A18" s="6" t="s">
        <v>949</v>
      </c>
      <c r="B18" s="6" t="s">
        <v>950</v>
      </c>
      <c r="C18" s="6" t="str">
        <f t="shared" si="7"/>
        <v>SP43-150K</v>
      </c>
      <c r="D18" s="4" t="s">
        <v>674</v>
      </c>
      <c r="E18" s="4" t="s">
        <v>666</v>
      </c>
      <c r="F18" s="4" t="str">
        <f t="shared" si="1"/>
        <v>Footprints\Inductance\SP43.PcbLib</v>
      </c>
      <c r="G18" s="4" t="s">
        <v>953</v>
      </c>
      <c r="H18" s="4" t="str">
        <f t="shared" si="3"/>
        <v>Footprints\Inductance\.PcbLib</v>
      </c>
      <c r="I18" s="4"/>
      <c r="J18" s="4" t="str">
        <f t="shared" si="4"/>
        <v>Footprints\Inductance\.PcbLib</v>
      </c>
      <c r="K18" s="4"/>
      <c r="L18" s="4" t="str">
        <f t="shared" si="5"/>
        <v>Footprints\Inductance\.PcbLib</v>
      </c>
      <c r="M18" s="4"/>
      <c r="N18" s="9">
        <v>15</v>
      </c>
      <c r="O18" s="6" t="s">
        <v>955</v>
      </c>
      <c r="P18" s="6" t="s">
        <v>614</v>
      </c>
    </row>
    <row r="19" spans="1:18" ht="14.25" customHeight="1">
      <c r="A19" s="6" t="s">
        <v>956</v>
      </c>
      <c r="B19" s="6" t="s">
        <v>957</v>
      </c>
      <c r="C19" s="6" t="str">
        <f t="shared" si="7"/>
        <v>B82472G6472M</v>
      </c>
      <c r="D19" s="4" t="s">
        <v>674</v>
      </c>
      <c r="E19" s="4" t="s">
        <v>666</v>
      </c>
      <c r="F19" s="4" t="str">
        <f t="shared" si="1"/>
        <v>Footprints\Inductance\B82462G4.PcbLib</v>
      </c>
      <c r="G19" s="4" t="s">
        <v>801</v>
      </c>
      <c r="H19" s="4" t="str">
        <f t="shared" si="3"/>
        <v>Footprints\Inductance\.PcbLib</v>
      </c>
      <c r="I19" s="4"/>
      <c r="J19" s="4" t="str">
        <f t="shared" si="4"/>
        <v>Footprints\Inductance\.PcbLib</v>
      </c>
      <c r="K19" s="4"/>
      <c r="L19" s="4" t="str">
        <f t="shared" si="5"/>
        <v>Footprints\Inductance\.PcbLib</v>
      </c>
      <c r="M19" s="4"/>
      <c r="N19" s="9">
        <v>4.70</v>
      </c>
      <c r="O19" s="6" t="s">
        <v>975</v>
      </c>
      <c r="P19" s="6" t="str">
        <f t="shared" si="10" ref="P19:P20">CONCATENATE(N19," мк")</f>
        <v>4,7 мк</v>
      </c>
      <c r="R19" s="6" t="s">
        <v>45</v>
      </c>
    </row>
    <row r="20" spans="1:18" ht="14.25" customHeight="1">
      <c r="A20" s="6" t="s">
        <v>977</v>
      </c>
      <c r="B20" s="6" t="s">
        <v>979</v>
      </c>
      <c r="C20" s="6" t="str">
        <f t="shared" si="7"/>
        <v>CDRH6D12NP-2R2NC</v>
      </c>
      <c r="D20" s="4" t="s">
        <v>981</v>
      </c>
      <c r="E20" s="4" t="s">
        <v>983</v>
      </c>
      <c r="F20" s="4" t="str">
        <f t="shared" si="1"/>
        <v>Footprints\Inductance\CDRH6D12.PcbLib</v>
      </c>
      <c r="G20" s="4" t="s">
        <v>984</v>
      </c>
      <c r="H20" s="4" t="str">
        <f t="shared" si="3"/>
        <v>Footprints\Inductance\.PcbLib</v>
      </c>
      <c r="I20" s="4"/>
      <c r="J20" s="4" t="str">
        <f t="shared" si="4"/>
        <v>Footprints\Inductance\.PcbLib</v>
      </c>
      <c r="K20" s="4"/>
      <c r="L20" s="4" t="str">
        <f t="shared" si="5"/>
        <v>Footprints\Inductance\.PcbLib</v>
      </c>
      <c r="M20" s="4"/>
      <c r="N20" s="9">
        <v>2.20</v>
      </c>
      <c r="O20" s="6" t="s">
        <v>975</v>
      </c>
      <c r="P20" s="6" t="str">
        <f t="shared" si="10"/>
        <v>2,2 мк</v>
      </c>
      <c r="R20" s="6" t="s">
        <v>45</v>
      </c>
    </row>
    <row r="21" spans="1:18" ht="14.25" customHeight="1">
      <c r="A21" s="6" t="s">
        <v>989</v>
      </c>
      <c r="B21" s="6" t="s">
        <v>990</v>
      </c>
      <c r="C21" s="6" t="str">
        <f t="shared" si="7"/>
        <v>GP2426SR</v>
      </c>
      <c r="D21" s="4" t="s">
        <v>993</v>
      </c>
      <c r="E21" s="4" t="s">
        <v>994</v>
      </c>
      <c r="F21" s="4" t="str">
        <f t="shared" si="1"/>
        <v>Footprints\Inductance\GP2426SR.PcbLib</v>
      </c>
      <c r="G21" s="6" t="s">
        <v>989</v>
      </c>
      <c r="H21" s="4" t="str">
        <f t="shared" si="3"/>
        <v>Footprints\Inductance\.PcbLib</v>
      </c>
      <c r="I21" s="4"/>
      <c r="J21" s="4" t="str">
        <f t="shared" si="4"/>
        <v>Footprints\Inductance\.PcbLib</v>
      </c>
      <c r="K21" s="4"/>
      <c r="L21" s="4" t="str">
        <f t="shared" si="5"/>
        <v>Footprints\Inductance\.PcbLib</v>
      </c>
      <c r="M21" s="4"/>
      <c r="N21" s="9">
        <v>0</v>
      </c>
      <c r="O21" s="6" t="s">
        <v>999</v>
      </c>
      <c r="P21" s="6" t="s">
        <v>1000</v>
      </c>
      <c r="R21" s="6" t="s">
        <v>45</v>
      </c>
    </row>
    <row r="22" spans="1:18" ht="14.25" customHeight="1">
      <c r="A22" s="6" t="s">
        <v>1001</v>
      </c>
      <c r="B22" s="6" t="s">
        <v>1002</v>
      </c>
      <c r="C22" s="6" t="str">
        <f t="shared" si="7"/>
        <v>CDSP43-2R2M</v>
      </c>
      <c r="D22" s="4" t="s">
        <v>674</v>
      </c>
      <c r="E22" s="4" t="s">
        <v>666</v>
      </c>
      <c r="F22" s="4" t="str">
        <f t="shared" si="1"/>
        <v>Footprints\Inductance\4.5x4_wired.PcbLib</v>
      </c>
      <c r="G22" s="4" t="s">
        <v>837</v>
      </c>
      <c r="H22" s="4" t="str">
        <f t="shared" si="3"/>
        <v>Footprints\Inductance\.PcbLib</v>
      </c>
      <c r="I22" s="4"/>
      <c r="J22" s="4" t="str">
        <f t="shared" si="4"/>
        <v>Footprints\Inductance\.PcbLib</v>
      </c>
      <c r="K22" s="4"/>
      <c r="L22" s="4" t="str">
        <f t="shared" si="5"/>
        <v>Footprints\Inductance\.PcbLib</v>
      </c>
      <c r="M22" s="4"/>
      <c r="N22" s="9">
        <v>2.20</v>
      </c>
      <c r="O22" s="6" t="s">
        <v>1009</v>
      </c>
      <c r="P22" s="6" t="str">
        <f t="shared" si="11" ref="P22:P23">CONCATENATE(N22," мк")</f>
        <v>2,2 мк</v>
      </c>
      <c r="Q22" s="6" t="s">
        <v>1010</v>
      </c>
      <c r="R22" s="6" t="s">
        <v>45</v>
      </c>
    </row>
    <row r="23" spans="1:18" ht="14.25" customHeight="1">
      <c r="A23" s="6" t="s">
        <v>1013</v>
      </c>
      <c r="B23" s="6" t="s">
        <v>1014</v>
      </c>
      <c r="C23" s="6" t="str">
        <f t="shared" si="7"/>
        <v>IHLP2020BZER2R2M01</v>
      </c>
      <c r="D23" s="4" t="s">
        <v>674</v>
      </c>
      <c r="E23" s="4" t="s">
        <v>666</v>
      </c>
      <c r="F23" s="4" t="str">
        <f t="shared" si="1"/>
        <v>Footprints\Inductance\IHLP-2020.PcbLib</v>
      </c>
      <c r="G23" s="4" t="s">
        <v>1016</v>
      </c>
      <c r="H23" s="4" t="str">
        <f t="shared" si="3"/>
        <v>Footprints\Inductance\.PcbLib</v>
      </c>
      <c r="I23" s="4"/>
      <c r="J23" s="4" t="str">
        <f t="shared" si="4"/>
        <v>Footprints\Inductance\.PcbLib</v>
      </c>
      <c r="K23" s="4"/>
      <c r="L23" s="4" t="str">
        <f t="shared" si="5"/>
        <v>Footprints\Inductance\.PcbLib</v>
      </c>
      <c r="M23" s="4"/>
      <c r="N23" s="9">
        <v>2.20</v>
      </c>
      <c r="O23" s="6" t="s">
        <v>1022</v>
      </c>
      <c r="P23" s="6" t="str">
        <f t="shared" si="11"/>
        <v>2,2 мк</v>
      </c>
      <c r="Q23" s="6" t="s">
        <v>1023</v>
      </c>
      <c r="R23" s="6" t="s">
        <v>45</v>
      </c>
    </row>
    <row r="24" spans="1:18" ht="14.25" customHeight="1">
      <c r="A24" s="6" t="s">
        <v>1024</v>
      </c>
      <c r="B24" s="6" t="s">
        <v>1025</v>
      </c>
      <c r="C24" s="6" t="str">
        <f t="shared" si="7"/>
        <v>B78476A8065A003</v>
      </c>
      <c r="D24" s="4" t="s">
        <v>1026</v>
      </c>
      <c r="E24" s="6" t="s">
        <v>1024</v>
      </c>
      <c r="F24" s="4" t="str">
        <f t="shared" si="1"/>
        <v>Footprints\Inductance\B78476A8065A003.PcbLib</v>
      </c>
      <c r="G24" s="4" t="s">
        <v>1024</v>
      </c>
      <c r="H24" s="4" t="str">
        <f t="shared" si="3"/>
        <v>Footprints\Inductance\.PcbLib</v>
      </c>
      <c r="I24" s="4"/>
      <c r="J24" s="4" t="str">
        <f t="shared" si="4"/>
        <v>Footprints\Inductance\.PcbLib</v>
      </c>
      <c r="K24" s="4"/>
      <c r="L24" s="4" t="str">
        <f t="shared" si="5"/>
        <v>Footprints\Inductance\.PcbLib</v>
      </c>
      <c r="M24" s="4"/>
      <c r="N24" s="9">
        <v>0</v>
      </c>
      <c r="O24" s="6" t="s">
        <v>999</v>
      </c>
      <c r="P24" s="6" t="s">
        <v>1000</v>
      </c>
      <c r="Q24" s="6" t="s">
        <v>1034</v>
      </c>
      <c r="R24" s="6" t="s">
        <v>45</v>
      </c>
    </row>
    <row r="25" spans="1:18" ht="14.25" customHeight="1">
      <c r="A25" s="6" t="s">
        <v>1036</v>
      </c>
      <c r="B25" s="6" t="s">
        <v>1037</v>
      </c>
      <c r="C25" s="6" t="str">
        <f t="shared" si="7"/>
        <v>MPXV1D1250L150</v>
      </c>
      <c r="D25" s="4" t="s">
        <v>674</v>
      </c>
      <c r="E25" s="4" t="s">
        <v>666</v>
      </c>
      <c r="F25" s="4" t="str">
        <f t="shared" si="1"/>
        <v>Footprints\Inductance\MPXV1D1250.PcbLib</v>
      </c>
      <c r="G25" s="4" t="s">
        <v>1041</v>
      </c>
      <c r="H25" s="4" t="str">
        <f t="shared" si="3"/>
        <v>Footprints\Inductance\.PcbLib</v>
      </c>
      <c r="I25" s="4"/>
      <c r="J25" s="4" t="str">
        <f t="shared" si="4"/>
        <v>Footprints\Inductance\.PcbLib</v>
      </c>
      <c r="K25" s="4"/>
      <c r="L25" s="4" t="str">
        <f t="shared" si="5"/>
        <v>Footprints\Inductance\.PcbLib</v>
      </c>
      <c r="M25" s="4"/>
      <c r="N25" s="9">
        <v>15</v>
      </c>
      <c r="O25" s="6" t="s">
        <v>1048</v>
      </c>
      <c r="P25" s="6" t="str">
        <f>CONCATENATE(N25," мк")</f>
        <v>15 мк</v>
      </c>
      <c r="Q25" s="6" t="s">
        <v>1050</v>
      </c>
      <c r="R25" s="6" t="s">
        <v>45</v>
      </c>
    </row>
    <row r="26" spans="1:18" ht="14.25" customHeight="1">
      <c r="A26" s="6" t="s">
        <v>1053</v>
      </c>
      <c r="B26" s="6" t="s">
        <v>1054</v>
      </c>
      <c r="C26" s="6" t="str">
        <f t="shared" si="7"/>
        <v>H5120NLT</v>
      </c>
      <c r="D26" s="4" t="s">
        <v>1057</v>
      </c>
      <c r="E26" s="4" t="s">
        <v>1058</v>
      </c>
      <c r="F26" s="4" t="str">
        <f t="shared" si="1"/>
        <v>Footprints\Inductance\H5120NLT.PcbLib</v>
      </c>
      <c r="G26" s="6" t="s">
        <v>1053</v>
      </c>
      <c r="H26" s="4" t="str">
        <f t="shared" si="3"/>
        <v>Footprints\Inductance\.PcbLib</v>
      </c>
      <c r="I26" s="4"/>
      <c r="J26" s="4" t="str">
        <f t="shared" si="4"/>
        <v>Footprints\Inductance\.PcbLib</v>
      </c>
      <c r="K26" s="4"/>
      <c r="L26" s="4" t="str">
        <f t="shared" si="5"/>
        <v>Footprints\Inductance\.PcbLib</v>
      </c>
      <c r="M26" s="4"/>
      <c r="N26" s="9">
        <v>0</v>
      </c>
      <c r="O26" s="6" t="s">
        <v>999</v>
      </c>
      <c r="P26" s="6" t="s">
        <v>1000</v>
      </c>
      <c r="Q26" s="6" t="s">
        <v>1063</v>
      </c>
      <c r="R26" s="6" t="s">
        <v>45</v>
      </c>
    </row>
    <row r="27" spans="1:18" ht="14.25" customHeight="1">
      <c r="A27" s="6" t="s">
        <v>1065</v>
      </c>
      <c r="B27" s="4" t="s">
        <v>1067</v>
      </c>
      <c r="C27" s="6" t="str">
        <f t="shared" si="7"/>
        <v>IHLP4040DZER150M11</v>
      </c>
      <c r="D27" s="4" t="s">
        <v>674</v>
      </c>
      <c r="E27" s="4" t="s">
        <v>666</v>
      </c>
      <c r="F27" s="4" t="str">
        <f t="shared" si="1"/>
        <v>Footprints\Inductance\IHLP-4040.PcbLib</v>
      </c>
      <c r="G27" s="4" t="s">
        <v>715</v>
      </c>
      <c r="H27" s="4" t="str">
        <f t="shared" si="3"/>
        <v>Footprints\Inductance\.PcbLib</v>
      </c>
      <c r="I27" s="4"/>
      <c r="J27" s="4" t="str">
        <f t="shared" si="4"/>
        <v>Footprints\Inductance\.PcbLib</v>
      </c>
      <c r="K27" s="4"/>
      <c r="L27" s="4" t="str">
        <f t="shared" si="5"/>
        <v>Footprints\Inductance\.PcbLib</v>
      </c>
      <c r="M27" s="4"/>
      <c r="N27" s="9">
        <v>15</v>
      </c>
      <c r="O27" s="6" t="s">
        <v>1071</v>
      </c>
      <c r="P27" s="4" t="str">
        <f>CONCATENATE(N27," мк")</f>
        <v>15 мк</v>
      </c>
      <c r="Q27" s="6" t="s">
        <v>1074</v>
      </c>
      <c r="R27" s="6" t="s">
        <v>45</v>
      </c>
    </row>
    <row r="28" spans="1:18" ht="14.25" customHeight="1">
      <c r="A28" s="6" t="s">
        <v>1076</v>
      </c>
      <c r="B28" s="6" t="s">
        <v>1078</v>
      </c>
      <c r="C28" s="6" t="str">
        <f t="shared" si="7"/>
        <v>Transformer_RM8</v>
      </c>
      <c r="D28" s="4" t="s">
        <v>1079</v>
      </c>
      <c r="E28" s="4" t="s">
        <v>1076</v>
      </c>
      <c r="F28" s="4" t="str">
        <f t="shared" si="1"/>
        <v>Footprints\Inductance\RM8_trans.PcbLib</v>
      </c>
      <c r="G28" s="4" t="s">
        <v>1081</v>
      </c>
      <c r="H28" s="4" t="str">
        <f t="shared" si="3"/>
        <v>Footprints\Inductance\.PcbLib</v>
      </c>
      <c r="I28" s="4"/>
      <c r="J28" s="4" t="str">
        <f t="shared" si="4"/>
        <v>Footprints\Inductance\.PcbLib</v>
      </c>
      <c r="K28" s="4"/>
      <c r="L28" s="4" t="str">
        <f t="shared" si="5"/>
        <v>Footprints\Inductance\.PcbLib</v>
      </c>
      <c r="M28" s="4"/>
      <c r="N28" s="9"/>
      <c r="Q28" s="14" t="s">
        <v>1087</v>
      </c>
      <c r="R28" s="6" t="s">
        <v>64</v>
      </c>
    </row>
    <row r="29" spans="1:18" ht="14.25" customHeight="1">
      <c r="A29" s="6" t="s">
        <v>1091</v>
      </c>
      <c r="B29" s="6" t="s">
        <v>1092</v>
      </c>
      <c r="C29" s="6" t="str">
        <f t="shared" si="7"/>
        <v>Inductance_RM8</v>
      </c>
      <c r="D29" s="4" t="s">
        <v>1095</v>
      </c>
      <c r="E29" s="6" t="s">
        <v>1091</v>
      </c>
      <c r="F29" s="4" t="str">
        <f t="shared" si="1"/>
        <v>Footprints\Inductance\RM8_trans.PcbLib</v>
      </c>
      <c r="G29" s="4" t="s">
        <v>1081</v>
      </c>
      <c r="H29" s="4" t="str">
        <f t="shared" si="3"/>
        <v>Footprints\Inductance\.PcbLib</v>
      </c>
      <c r="I29" s="4"/>
      <c r="J29" s="4" t="str">
        <f t="shared" si="4"/>
        <v>Footprints\Inductance\.PcbLib</v>
      </c>
      <c r="K29" s="4"/>
      <c r="L29" s="4" t="str">
        <f t="shared" si="5"/>
        <v>Footprints\Inductance\.PcbLib</v>
      </c>
      <c r="M29" s="4"/>
      <c r="N29" s="9"/>
      <c r="P29" s="54" t="str">
        <f>N29</f>
        <v/>
      </c>
      <c r="Q29" s="14" t="s">
        <v>1087</v>
      </c>
      <c r="R29" s="6" t="s">
        <v>64</v>
      </c>
    </row>
    <row r="30" spans="1:18" ht="14.25" customHeight="1">
      <c r="A30" s="6" t="s">
        <v>1103</v>
      </c>
      <c r="B30" s="6" t="s">
        <v>1105</v>
      </c>
      <c r="C30" s="6" t="str">
        <f t="shared" si="7"/>
        <v>BLM18AG102SN1D</v>
      </c>
      <c r="D30" s="4" t="s">
        <v>1107</v>
      </c>
      <c r="E30" s="4" t="s">
        <v>1109</v>
      </c>
      <c r="F30" s="4" t="str">
        <f t="shared" si="1"/>
        <v>Footprints\Inductance\0603L.PcbLib</v>
      </c>
      <c r="G30" s="4" t="s">
        <v>680</v>
      </c>
      <c r="H30" s="4" t="str">
        <f t="shared" si="3"/>
        <v>Footprints\Inductance\.PcbLib</v>
      </c>
      <c r="I30" s="4"/>
      <c r="J30" s="4" t="str">
        <f t="shared" si="4"/>
        <v>Footprints\Inductance\.PcbLib</v>
      </c>
      <c r="K30" s="4"/>
      <c r="L30" s="4" t="str">
        <f t="shared" si="5"/>
        <v>Footprints\Inductance\.PcbLib</v>
      </c>
      <c r="M30" s="4"/>
      <c r="N30" s="9"/>
      <c r="Q30" s="14" t="s">
        <v>1115</v>
      </c>
      <c r="R30" s="6" t="s">
        <v>64</v>
      </c>
    </row>
    <row r="31" spans="14:14" ht="14.25" customHeight="1">
      <c r="N31" s="13"/>
    </row>
    <row r="32" spans="14:14" ht="14.25" customHeight="1">
      <c r="N32" s="13"/>
    </row>
    <row r="33" spans="14:14" ht="14.25" customHeight="1">
      <c r="N33" s="13"/>
    </row>
    <row r="34" spans="14:14" ht="14.25" customHeight="1">
      <c r="N34" s="13"/>
    </row>
    <row r="35" spans="14:14" ht="14.25" customHeight="1">
      <c r="N35" s="13"/>
    </row>
    <row r="36" spans="14:14" ht="14.25" customHeight="1">
      <c r="N36" s="13"/>
    </row>
    <row r="37" spans="14:14" ht="14.25" customHeight="1">
      <c r="N37" s="13"/>
    </row>
    <row r="38" spans="14:14" ht="14.25" customHeight="1">
      <c r="N38" s="13"/>
    </row>
    <row r="39" spans="14:14" ht="14.25" customHeight="1">
      <c r="N39" s="13"/>
    </row>
    <row r="40" spans="14:14" ht="14.25" customHeight="1">
      <c r="N40" s="13"/>
    </row>
    <row r="41" spans="14:14" ht="14.25" customHeight="1">
      <c r="N41" s="13"/>
    </row>
    <row r="42" spans="14:14" ht="14.25" customHeight="1">
      <c r="N42" s="13"/>
    </row>
    <row r="43" spans="14:14" ht="14.25" customHeight="1">
      <c r="N43" s="13"/>
    </row>
    <row r="44" spans="14:14" ht="14.25" customHeight="1">
      <c r="N44" s="13"/>
    </row>
    <row r="45" spans="14:14" ht="14.25" customHeight="1">
      <c r="N45" s="13"/>
    </row>
    <row r="46" spans="14:14" ht="14.25" customHeight="1">
      <c r="N46" s="13"/>
    </row>
    <row r="47" spans="14:14" ht="14.25" customHeight="1">
      <c r="N47" s="13"/>
    </row>
    <row r="48" spans="14:14" ht="14.25" customHeight="1">
      <c r="N48" s="13"/>
    </row>
    <row r="49" spans="14:14" ht="14.25" customHeight="1">
      <c r="N49" s="13"/>
    </row>
    <row r="50" spans="14:14" ht="14.25" customHeight="1">
      <c r="N50" s="13"/>
    </row>
    <row r="51" spans="14:14" ht="14.25" customHeight="1">
      <c r="N51" s="13"/>
    </row>
    <row r="52" spans="14:14" ht="14.25" customHeight="1">
      <c r="N52" s="13"/>
    </row>
    <row r="53" spans="14:14" ht="14.25" customHeight="1">
      <c r="N53" s="13"/>
    </row>
    <row r="54" spans="14:14" ht="14.25" customHeight="1">
      <c r="N54" s="13"/>
    </row>
    <row r="55" spans="14:14" ht="14.25" customHeight="1">
      <c r="N55" s="13"/>
    </row>
    <row r="56" spans="14:14" ht="14.25" customHeight="1">
      <c r="N56" s="13"/>
    </row>
    <row r="57" spans="14:14" ht="14.25" customHeight="1">
      <c r="N57" s="13"/>
    </row>
    <row r="58" spans="14:14" ht="14.25" customHeight="1">
      <c r="N58" s="13"/>
    </row>
    <row r="59" spans="14:14" ht="14.25" customHeight="1">
      <c r="N59" s="13"/>
    </row>
    <row r="60" spans="14:14" ht="14.25" customHeight="1">
      <c r="N60" s="13"/>
    </row>
    <row r="61" spans="14:14" ht="14.25" customHeight="1">
      <c r="N61" s="13"/>
    </row>
    <row r="62" spans="14:14" ht="14.25" customHeight="1">
      <c r="N62" s="13"/>
    </row>
    <row r="63" spans="14:14" ht="14.25" customHeight="1">
      <c r="N63" s="13"/>
    </row>
    <row r="64" spans="14:14" ht="14.25" customHeight="1">
      <c r="N64" s="13"/>
    </row>
    <row r="65" spans="14:14" ht="14.25" customHeight="1">
      <c r="N65" s="13"/>
    </row>
    <row r="66" spans="14:14" ht="14.25" customHeight="1">
      <c r="N66" s="13"/>
    </row>
    <row r="67" spans="14:14" ht="14.25" customHeight="1">
      <c r="N67" s="13"/>
    </row>
    <row r="68" spans="14:14" ht="14.25" customHeight="1">
      <c r="N68" s="13"/>
    </row>
    <row r="69" spans="14:14" ht="14.25" customHeight="1">
      <c r="N69" s="13"/>
    </row>
    <row r="70" spans="14:14" ht="14.25" customHeight="1">
      <c r="N70" s="13"/>
    </row>
    <row r="71" spans="14:14" ht="14.25" customHeight="1">
      <c r="N71" s="13"/>
    </row>
    <row r="72" spans="14:14" ht="14.25" customHeight="1">
      <c r="N72" s="13"/>
    </row>
    <row r="73" spans="14:14" ht="14.25" customHeight="1">
      <c r="N73" s="13"/>
    </row>
    <row r="74" spans="14:14" ht="14.25" customHeight="1">
      <c r="N74" s="13"/>
    </row>
    <row r="75" spans="14:14" ht="14.25" customHeight="1">
      <c r="N75" s="13"/>
    </row>
    <row r="76" spans="14:14" ht="14.25" customHeight="1">
      <c r="N76" s="13"/>
    </row>
    <row r="77" spans="14:14" ht="14.25" customHeight="1">
      <c r="N77" s="13"/>
    </row>
    <row r="78" spans="14:14" ht="14.25" customHeight="1">
      <c r="N78" s="13"/>
    </row>
    <row r="79" spans="14:14" ht="14.25" customHeight="1">
      <c r="N79" s="13"/>
    </row>
    <row r="80" spans="14:14" ht="14.25" customHeight="1">
      <c r="N80" s="13"/>
    </row>
    <row r="81" spans="14:14" ht="14.25" customHeight="1">
      <c r="N81" s="13"/>
    </row>
    <row r="82" spans="14:14" ht="14.25" customHeight="1">
      <c r="N82" s="13"/>
    </row>
    <row r="83" spans="14:14" ht="14.25" customHeight="1">
      <c r="N83" s="13"/>
    </row>
    <row r="84" spans="14:14" ht="14.25" customHeight="1">
      <c r="N84" s="13"/>
    </row>
    <row r="85" spans="14:14" ht="14.25" customHeight="1">
      <c r="N85" s="13"/>
    </row>
    <row r="86" spans="14:14" ht="14.25" customHeight="1">
      <c r="N86" s="13"/>
    </row>
    <row r="87" spans="14:14" ht="14.25" customHeight="1">
      <c r="N87" s="13"/>
    </row>
    <row r="88" spans="14:14" ht="14.25" customHeight="1">
      <c r="N88" s="13"/>
    </row>
    <row r="89" spans="14:14" ht="14.25" customHeight="1">
      <c r="N89" s="13"/>
    </row>
    <row r="90" spans="14:14" ht="14.25" customHeight="1">
      <c r="N90" s="13"/>
    </row>
    <row r="91" spans="14:14" ht="14.25" customHeight="1">
      <c r="N91" s="13"/>
    </row>
    <row r="92" spans="14:14" ht="14.25" customHeight="1">
      <c r="N92" s="13"/>
    </row>
    <row r="93" spans="14:14" ht="14.25" customHeight="1">
      <c r="N93" s="13"/>
    </row>
    <row r="94" spans="14:14" ht="14.25" customHeight="1">
      <c r="N94" s="13"/>
    </row>
    <row r="95" spans="14:14" ht="14.25" customHeight="1">
      <c r="N95" s="13"/>
    </row>
    <row r="96" spans="14:14" ht="14.25" customHeight="1">
      <c r="N96" s="13"/>
    </row>
    <row r="97" spans="14:14" ht="14.25" customHeight="1">
      <c r="N97" s="13"/>
    </row>
    <row r="98" spans="14:14" ht="14.25" customHeight="1">
      <c r="N98" s="13"/>
    </row>
    <row r="99" spans="14:14" ht="14.25" customHeight="1">
      <c r="N99" s="13"/>
    </row>
    <row r="100" spans="14:14" ht="14.25" customHeight="1">
      <c r="N100" s="13"/>
    </row>
    <row r="101" spans="14:14" ht="14.25" customHeight="1">
      <c r="N101" s="13"/>
    </row>
    <row r="102" spans="14:14" ht="14.25" customHeight="1">
      <c r="N102" s="13"/>
    </row>
    <row r="103" spans="14:14" ht="14.25" customHeight="1">
      <c r="N103" s="13"/>
    </row>
    <row r="104" spans="14:14" ht="14.25" customHeight="1">
      <c r="N104" s="13"/>
    </row>
    <row r="105" spans="14:14" ht="14.25" customHeight="1">
      <c r="N105" s="13"/>
    </row>
    <row r="106" spans="14:14" ht="14.25" customHeight="1">
      <c r="N106" s="13"/>
    </row>
    <row r="107" spans="14:14" ht="14.25" customHeight="1">
      <c r="N107" s="13"/>
    </row>
    <row r="108" spans="14:14" ht="14.25" customHeight="1">
      <c r="N108" s="13"/>
    </row>
    <row r="109" spans="14:14" ht="14.25" customHeight="1">
      <c r="N109" s="13"/>
    </row>
    <row r="110" spans="14:14" ht="14.25" customHeight="1">
      <c r="N110" s="13"/>
    </row>
    <row r="111" spans="14:14" ht="14.25" customHeight="1">
      <c r="N111" s="13"/>
    </row>
    <row r="112" spans="14:14" ht="14.25" customHeight="1">
      <c r="N112" s="13"/>
    </row>
    <row r="113" spans="14:14" ht="14.25" customHeight="1">
      <c r="N113" s="13"/>
    </row>
    <row r="114" spans="14:14" ht="14.25" customHeight="1">
      <c r="N114" s="13"/>
    </row>
    <row r="115" spans="14:14" ht="14.25" customHeight="1">
      <c r="N115" s="13"/>
    </row>
    <row r="116" spans="14:14" ht="14.25" customHeight="1">
      <c r="N116" s="13"/>
    </row>
    <row r="117" spans="14:14" ht="14.25" customHeight="1">
      <c r="N117" s="13"/>
    </row>
    <row r="118" spans="14:14" ht="14.25" customHeight="1">
      <c r="N118" s="13"/>
    </row>
    <row r="119" spans="14:14" ht="14.25" customHeight="1">
      <c r="N119" s="13"/>
    </row>
    <row r="120" spans="14:14" ht="14.25" customHeight="1">
      <c r="N120" s="13"/>
    </row>
    <row r="121" spans="14:14" ht="14.25" customHeight="1">
      <c r="N121" s="13"/>
    </row>
    <row r="122" spans="14:14" ht="14.25" customHeight="1">
      <c r="N122" s="13"/>
    </row>
    <row r="123" spans="14:14" ht="14.25" customHeight="1">
      <c r="N123" s="13"/>
    </row>
    <row r="124" spans="14:14" ht="14.25" customHeight="1">
      <c r="N124" s="13"/>
    </row>
    <row r="125" spans="14:14" ht="14.25" customHeight="1">
      <c r="N125" s="13"/>
    </row>
    <row r="126" spans="14:14" ht="14.25" customHeight="1">
      <c r="N126" s="13"/>
    </row>
    <row r="127" spans="14:14" ht="14.25" customHeight="1">
      <c r="N127" s="13"/>
    </row>
    <row r="128" spans="14:14" ht="14.25" customHeight="1">
      <c r="N128" s="13"/>
    </row>
    <row r="129" spans="14:14" ht="14.25" customHeight="1">
      <c r="N129" s="13"/>
    </row>
    <row r="130" spans="14:14" ht="14.25" customHeight="1">
      <c r="N130" s="13"/>
    </row>
    <row r="131" spans="14:14" ht="14.25" customHeight="1">
      <c r="N131" s="13"/>
    </row>
    <row r="132" spans="14:14" ht="14.25" customHeight="1">
      <c r="N132" s="13"/>
    </row>
    <row r="133" spans="14:14" ht="14.25" customHeight="1">
      <c r="N133" s="13"/>
    </row>
    <row r="134" spans="14:14" ht="14.25" customHeight="1">
      <c r="N134" s="13"/>
    </row>
    <row r="135" spans="14:14" ht="14.25" customHeight="1">
      <c r="N135" s="13"/>
    </row>
    <row r="136" spans="14:14" ht="14.25" customHeight="1">
      <c r="N136" s="13"/>
    </row>
    <row r="137" spans="14:14" ht="14.25" customHeight="1">
      <c r="N137" s="13"/>
    </row>
    <row r="138" spans="14:14" ht="14.25" customHeight="1">
      <c r="N138" s="13"/>
    </row>
    <row r="139" spans="14:14" ht="14.25" customHeight="1">
      <c r="N139" s="13"/>
    </row>
    <row r="140" spans="14:14" ht="14.25" customHeight="1">
      <c r="N140" s="13"/>
    </row>
    <row r="141" spans="14:14" ht="14.25" customHeight="1">
      <c r="N141" s="13"/>
    </row>
    <row r="142" spans="14:14" ht="14.25" customHeight="1">
      <c r="N142" s="13"/>
    </row>
    <row r="143" spans="14:14" ht="14.25" customHeight="1">
      <c r="N143" s="13"/>
    </row>
    <row r="144" spans="14:14" ht="14.25" customHeight="1">
      <c r="N144" s="13"/>
    </row>
    <row r="145" spans="14:14" ht="14.25" customHeight="1">
      <c r="N145" s="13"/>
    </row>
    <row r="146" spans="14:14" ht="14.25" customHeight="1">
      <c r="N146" s="13"/>
    </row>
    <row r="147" spans="14:14" ht="14.25" customHeight="1">
      <c r="N147" s="13"/>
    </row>
    <row r="148" spans="14:14" ht="14.25" customHeight="1">
      <c r="N148" s="13"/>
    </row>
    <row r="149" spans="14:14" ht="14.25" customHeight="1">
      <c r="N149" s="13"/>
    </row>
    <row r="150" spans="14:14" ht="14.25" customHeight="1">
      <c r="N150" s="13"/>
    </row>
    <row r="151" spans="14:14" ht="14.25" customHeight="1">
      <c r="N151" s="13"/>
    </row>
    <row r="152" spans="14:14" ht="14.25" customHeight="1">
      <c r="N152" s="13"/>
    </row>
    <row r="153" spans="14:14" ht="14.25" customHeight="1">
      <c r="N153" s="13"/>
    </row>
    <row r="154" spans="14:14" ht="14.25" customHeight="1">
      <c r="N154" s="13"/>
    </row>
    <row r="155" spans="14:14" ht="14.25" customHeight="1">
      <c r="N155" s="13"/>
    </row>
    <row r="156" spans="14:14" ht="14.25" customHeight="1">
      <c r="N156" s="13"/>
    </row>
    <row r="157" spans="14:14" ht="14.25" customHeight="1">
      <c r="N157" s="13"/>
    </row>
    <row r="158" spans="14:14" ht="14.25" customHeight="1">
      <c r="N158" s="13"/>
    </row>
    <row r="159" spans="14:14" ht="14.25" customHeight="1">
      <c r="N159" s="13"/>
    </row>
    <row r="160" spans="14:14" ht="14.25" customHeight="1">
      <c r="N160" s="13"/>
    </row>
    <row r="161" spans="14:14" ht="14.25" customHeight="1">
      <c r="N161" s="13"/>
    </row>
    <row r="162" spans="14:14" ht="14.25" customHeight="1">
      <c r="N162" s="13"/>
    </row>
    <row r="163" spans="14:14" ht="14.25" customHeight="1">
      <c r="N163" s="13"/>
    </row>
    <row r="164" spans="14:14" ht="14.25" customHeight="1">
      <c r="N164" s="13"/>
    </row>
    <row r="165" spans="14:14" ht="14.25" customHeight="1">
      <c r="N165" s="13"/>
    </row>
    <row r="166" spans="14:14" ht="14.25" customHeight="1">
      <c r="N166" s="13"/>
    </row>
    <row r="167" spans="14:14" ht="14.25" customHeight="1">
      <c r="N167" s="13"/>
    </row>
    <row r="168" spans="14:14" ht="14.25" customHeight="1">
      <c r="N168" s="13"/>
    </row>
    <row r="169" spans="14:14" ht="14.25" customHeight="1">
      <c r="N169" s="13"/>
    </row>
    <row r="170" spans="14:14" ht="14.25" customHeight="1">
      <c r="N170" s="13"/>
    </row>
    <row r="171" spans="14:14" ht="14.25" customHeight="1">
      <c r="N171" s="13"/>
    </row>
    <row r="172" spans="14:14" ht="14.25" customHeight="1">
      <c r="N172" s="13"/>
    </row>
    <row r="173" spans="14:14" ht="14.25" customHeight="1">
      <c r="N173" s="13"/>
    </row>
    <row r="174" spans="14:14" ht="14.25" customHeight="1">
      <c r="N174" s="13"/>
    </row>
    <row r="175" spans="14:14" ht="14.25" customHeight="1">
      <c r="N175" s="13"/>
    </row>
    <row r="176" spans="14:14" ht="14.25" customHeight="1">
      <c r="N176" s="13"/>
    </row>
    <row r="177" spans="14:14" ht="14.25" customHeight="1">
      <c r="N177" s="13"/>
    </row>
    <row r="178" spans="14:14" ht="14.25" customHeight="1">
      <c r="N178" s="13"/>
    </row>
    <row r="179" spans="14:14" ht="14.25" customHeight="1">
      <c r="N179" s="13"/>
    </row>
    <row r="180" spans="14:14" ht="14.25" customHeight="1">
      <c r="N180" s="13"/>
    </row>
    <row r="181" spans="14:14" ht="14.25" customHeight="1">
      <c r="N181" s="13"/>
    </row>
    <row r="182" spans="14:14" ht="14.25" customHeight="1">
      <c r="N182" s="13"/>
    </row>
    <row r="183" spans="14:14" ht="14.25" customHeight="1">
      <c r="N183" s="13"/>
    </row>
    <row r="184" spans="14:14" ht="14.25" customHeight="1">
      <c r="N184" s="13"/>
    </row>
    <row r="185" spans="14:14" ht="14.25" customHeight="1">
      <c r="N185" s="13"/>
    </row>
    <row r="186" spans="14:14" ht="14.25" customHeight="1">
      <c r="N186" s="13"/>
    </row>
    <row r="187" spans="14:14" ht="14.25" customHeight="1">
      <c r="N187" s="13"/>
    </row>
    <row r="188" spans="14:14" ht="14.25" customHeight="1">
      <c r="N188" s="13"/>
    </row>
    <row r="189" spans="14:14" ht="14.25" customHeight="1">
      <c r="N189" s="13"/>
    </row>
    <row r="190" spans="14:14" ht="14.25" customHeight="1">
      <c r="N190" s="13"/>
    </row>
    <row r="191" spans="14:14" ht="14.25" customHeight="1">
      <c r="N191" s="13"/>
    </row>
    <row r="192" spans="14:14" ht="14.25" customHeight="1">
      <c r="N192" s="13"/>
    </row>
    <row r="193" spans="14:14" ht="14.25" customHeight="1">
      <c r="N193" s="13"/>
    </row>
    <row r="194" spans="14:14" ht="14.25" customHeight="1">
      <c r="N194" s="13"/>
    </row>
    <row r="195" spans="14:14" ht="14.25" customHeight="1">
      <c r="N195" s="13"/>
    </row>
    <row r="196" spans="14:14" ht="14.25" customHeight="1">
      <c r="N196" s="13"/>
    </row>
    <row r="197" spans="14:14" ht="14.25" customHeight="1">
      <c r="N197" s="13"/>
    </row>
    <row r="198" spans="14:14" ht="14.25" customHeight="1">
      <c r="N198" s="13"/>
    </row>
    <row r="199" spans="14:14" ht="14.25" customHeight="1">
      <c r="N199" s="13"/>
    </row>
    <row r="200" spans="14:14" ht="14.25" customHeight="1">
      <c r="N200" s="13"/>
    </row>
    <row r="201" spans="14:14" ht="14.25" customHeight="1">
      <c r="N201" s="13"/>
    </row>
    <row r="202" spans="14:14" ht="14.25" customHeight="1">
      <c r="N202" s="13"/>
    </row>
    <row r="203" spans="14:14" ht="14.25" customHeight="1">
      <c r="N203" s="13"/>
    </row>
    <row r="204" spans="14:14" ht="14.25" customHeight="1">
      <c r="N204" s="13"/>
    </row>
    <row r="205" spans="14:14" ht="14.25" customHeight="1">
      <c r="N205" s="13"/>
    </row>
    <row r="206" spans="14:14" ht="14.25" customHeight="1">
      <c r="N206" s="13"/>
    </row>
    <row r="207" spans="14:14" ht="14.25" customHeight="1">
      <c r="N207" s="13"/>
    </row>
    <row r="208" spans="14:14" ht="14.25" customHeight="1">
      <c r="N208" s="13"/>
    </row>
    <row r="209" spans="14:14" ht="14.25" customHeight="1">
      <c r="N209" s="13"/>
    </row>
    <row r="210" spans="14:14" ht="14.25" customHeight="1">
      <c r="N210" s="13"/>
    </row>
    <row r="211" spans="14:14" ht="14.25" customHeight="1">
      <c r="N211" s="13"/>
    </row>
    <row r="212" spans="14:14" ht="14.25" customHeight="1">
      <c r="N212" s="13"/>
    </row>
    <row r="213" spans="14:14" ht="14.25" customHeight="1">
      <c r="N213" s="13"/>
    </row>
    <row r="214" spans="14:14" ht="14.25" customHeight="1">
      <c r="N214" s="13"/>
    </row>
    <row r="215" spans="14:14" ht="14.25" customHeight="1">
      <c r="N215" s="13"/>
    </row>
    <row r="216" spans="14:14" ht="14.25" customHeight="1">
      <c r="N216" s="13"/>
    </row>
    <row r="217" spans="14:14" ht="14.25" customHeight="1">
      <c r="N217" s="13"/>
    </row>
    <row r="218" spans="14:14" ht="14.25" customHeight="1">
      <c r="N218" s="13"/>
    </row>
    <row r="219" spans="14:14" ht="14.25" customHeight="1">
      <c r="N219" s="13"/>
    </row>
    <row r="220" spans="14:14" ht="14.25" customHeight="1">
      <c r="N220" s="13"/>
    </row>
    <row r="221" spans="14:14" ht="14.25" customHeight="1">
      <c r="N221" s="13"/>
    </row>
    <row r="222" spans="14:14" ht="14.25" customHeight="1">
      <c r="N222" s="13"/>
    </row>
    <row r="223" spans="14:14" ht="14.25" customHeight="1">
      <c r="N223" s="13"/>
    </row>
    <row r="224" spans="14:14" ht="14.25" customHeight="1">
      <c r="N224" s="13"/>
    </row>
    <row r="225" spans="14:14" ht="14.25" customHeight="1">
      <c r="N225" s="13"/>
    </row>
    <row r="226" spans="14:14" ht="14.25" customHeight="1">
      <c r="N226" s="13"/>
    </row>
    <row r="227" spans="14:14" ht="14.25" customHeight="1">
      <c r="N227" s="13"/>
    </row>
    <row r="228" spans="14:14" ht="14.25" customHeight="1">
      <c r="N228" s="13"/>
    </row>
    <row r="229" spans="14:14" ht="14.25" customHeight="1">
      <c r="N229" s="13"/>
    </row>
    <row r="230" spans="14:14" ht="14.25" customHeight="1">
      <c r="N230" s="13"/>
    </row>
    <row r="231" spans="14:14" ht="14.25" customHeight="1">
      <c r="N231" s="13"/>
    </row>
    <row r="232" spans="14:14" ht="14.25" customHeight="1">
      <c r="N232" s="13"/>
    </row>
    <row r="233" spans="14:14" ht="14.25" customHeight="1">
      <c r="N233" s="13"/>
    </row>
    <row r="234" spans="14:14" ht="14.25" customHeight="1">
      <c r="N234" s="13"/>
    </row>
    <row r="235" spans="14:14" ht="14.25" customHeight="1">
      <c r="N235" s="13"/>
    </row>
    <row r="236" spans="14:14" ht="14.25" customHeight="1">
      <c r="N236" s="13"/>
    </row>
    <row r="237" spans="14:14" ht="14.25" customHeight="1">
      <c r="N237" s="13"/>
    </row>
    <row r="238" spans="14:14" ht="14.25" customHeight="1">
      <c r="N238" s="13"/>
    </row>
    <row r="239" spans="14:14" ht="14.25" customHeight="1">
      <c r="N239" s="13"/>
    </row>
    <row r="240" spans="14:14" ht="14.25" customHeight="1">
      <c r="N240" s="13"/>
    </row>
    <row r="241" spans="14:14" ht="14.25" customHeight="1">
      <c r="N241" s="13"/>
    </row>
    <row r="242" spans="14:14" ht="14.25" customHeight="1">
      <c r="N242" s="13"/>
    </row>
    <row r="243" spans="14:14" ht="14.25" customHeight="1">
      <c r="N243" s="13"/>
    </row>
    <row r="244" spans="14:14" ht="14.25" customHeight="1">
      <c r="N244" s="13"/>
    </row>
    <row r="245" spans="14:14" ht="14.25" customHeight="1">
      <c r="N245" s="13"/>
    </row>
    <row r="246" spans="14:14" ht="14.25" customHeight="1">
      <c r="N246" s="13"/>
    </row>
    <row r="247" spans="14:14" ht="14.25" customHeight="1">
      <c r="N247" s="13"/>
    </row>
    <row r="248" spans="14:14" ht="14.25" customHeight="1">
      <c r="N248" s="13"/>
    </row>
    <row r="249" spans="14:14" ht="14.25" customHeight="1">
      <c r="N249" s="13"/>
    </row>
    <row r="250" spans="14:14" ht="14.25" customHeight="1">
      <c r="N250" s="13"/>
    </row>
    <row r="251" spans="14:14" ht="14.25" customHeight="1">
      <c r="N251" s="13"/>
    </row>
    <row r="252" spans="14:14" ht="14.25" customHeight="1">
      <c r="N252" s="13"/>
    </row>
    <row r="253" spans="14:14" ht="14.25" customHeight="1">
      <c r="N253" s="13"/>
    </row>
    <row r="254" spans="14:14" ht="14.25" customHeight="1">
      <c r="N254" s="13"/>
    </row>
    <row r="255" spans="14:14" ht="14.25" customHeight="1">
      <c r="N255" s="13"/>
    </row>
    <row r="256" spans="14:14" ht="14.25" customHeight="1">
      <c r="N256" s="13"/>
    </row>
    <row r="257" spans="14:14" ht="14.25" customHeight="1">
      <c r="N257" s="13"/>
    </row>
    <row r="258" spans="14:14" ht="14.25" customHeight="1">
      <c r="N258" s="13"/>
    </row>
    <row r="259" spans="14:14" ht="14.25" customHeight="1">
      <c r="N259" s="13"/>
    </row>
    <row r="260" spans="14:14" ht="14.25" customHeight="1">
      <c r="N260" s="13"/>
    </row>
    <row r="261" spans="14:14" ht="14.25" customHeight="1">
      <c r="N261" s="13"/>
    </row>
    <row r="262" spans="14:14" ht="14.25" customHeight="1">
      <c r="N262" s="13"/>
    </row>
    <row r="263" spans="14:14" ht="14.25" customHeight="1">
      <c r="N263" s="13"/>
    </row>
    <row r="264" spans="14:14" ht="14.25" customHeight="1">
      <c r="N264" s="13"/>
    </row>
    <row r="265" spans="14:14" ht="14.25" customHeight="1">
      <c r="N265" s="13"/>
    </row>
    <row r="266" spans="14:14" ht="14.25" customHeight="1">
      <c r="N266" s="13"/>
    </row>
    <row r="267" spans="14:14" ht="14.25" customHeight="1">
      <c r="N267" s="13"/>
    </row>
    <row r="268" spans="14:14" ht="14.25" customHeight="1">
      <c r="N268" s="13"/>
    </row>
    <row r="269" spans="14:14" ht="14.25" customHeight="1">
      <c r="N269" s="13"/>
    </row>
    <row r="270" spans="14:14" ht="14.25" customHeight="1">
      <c r="N270" s="13"/>
    </row>
    <row r="271" spans="14:14" ht="14.25" customHeight="1">
      <c r="N271" s="13"/>
    </row>
    <row r="272" spans="14:14" ht="14.25" customHeight="1">
      <c r="N272" s="13"/>
    </row>
    <row r="273" spans="14:14" ht="14.25" customHeight="1">
      <c r="N273" s="13"/>
    </row>
    <row r="274" spans="14:14" ht="14.25" customHeight="1">
      <c r="N274" s="13"/>
    </row>
    <row r="275" spans="14:14" ht="14.25" customHeight="1">
      <c r="N275" s="13"/>
    </row>
    <row r="276" spans="14:14" ht="14.25" customHeight="1">
      <c r="N276" s="13"/>
    </row>
    <row r="277" spans="14:14" ht="14.25" customHeight="1">
      <c r="N277" s="13"/>
    </row>
    <row r="278" spans="14:14" ht="14.25" customHeight="1">
      <c r="N278" s="13"/>
    </row>
    <row r="279" spans="14:14" ht="14.25" customHeight="1">
      <c r="N279" s="13"/>
    </row>
    <row r="280" spans="14:14" ht="14.25" customHeight="1">
      <c r="N280" s="13"/>
    </row>
    <row r="281" spans="14:14" ht="14.25" customHeight="1">
      <c r="N281" s="13"/>
    </row>
    <row r="282" spans="14:14" ht="14.25" customHeight="1">
      <c r="N282" s="13"/>
    </row>
    <row r="283" spans="14:14" ht="14.25" customHeight="1">
      <c r="N283" s="13"/>
    </row>
    <row r="284" spans="14:14" ht="14.25" customHeight="1">
      <c r="N284" s="13"/>
    </row>
    <row r="285" spans="14:14" ht="14.25" customHeight="1">
      <c r="N285" s="13"/>
    </row>
    <row r="286" spans="14:14" ht="14.25" customHeight="1">
      <c r="N286" s="13"/>
    </row>
    <row r="287" spans="14:14" ht="14.25" customHeight="1">
      <c r="N287" s="13"/>
    </row>
    <row r="288" spans="14:14" ht="14.25" customHeight="1">
      <c r="N288" s="13"/>
    </row>
    <row r="289" spans="14:14" ht="14.25" customHeight="1">
      <c r="N289" s="13"/>
    </row>
    <row r="290" spans="14:14" ht="14.25" customHeight="1">
      <c r="N290" s="13"/>
    </row>
    <row r="291" spans="14:14" ht="14.25" customHeight="1">
      <c r="N291" s="13"/>
    </row>
    <row r="292" spans="14:14" ht="14.25" customHeight="1">
      <c r="N292" s="13"/>
    </row>
    <row r="293" spans="14:14" ht="14.25" customHeight="1">
      <c r="N293" s="13"/>
    </row>
    <row r="294" spans="14:14" ht="14.25" customHeight="1">
      <c r="N294" s="13"/>
    </row>
    <row r="295" spans="14:14" ht="14.25" customHeight="1">
      <c r="N295" s="13"/>
    </row>
    <row r="296" spans="14:14" ht="14.25" customHeight="1">
      <c r="N296" s="13"/>
    </row>
    <row r="297" spans="14:14" ht="14.25" customHeight="1">
      <c r="N297" s="13"/>
    </row>
    <row r="298" spans="14:14" ht="14.25" customHeight="1">
      <c r="N298" s="13"/>
    </row>
    <row r="299" spans="14:14" ht="14.25" customHeight="1">
      <c r="N299" s="13"/>
    </row>
    <row r="300" spans="14:14" ht="14.25" customHeight="1">
      <c r="N300" s="13"/>
    </row>
    <row r="301" spans="14:14" ht="14.25" customHeight="1">
      <c r="N301" s="13"/>
    </row>
    <row r="302" spans="14:14" ht="14.25" customHeight="1">
      <c r="N302" s="13"/>
    </row>
    <row r="303" spans="14:14" ht="14.25" customHeight="1">
      <c r="N303" s="13"/>
    </row>
    <row r="304" spans="14:14" ht="14.25" customHeight="1">
      <c r="N304" s="13"/>
    </row>
    <row r="305" spans="14:14" ht="14.25" customHeight="1">
      <c r="N305" s="13"/>
    </row>
    <row r="306" spans="14:14" ht="14.25" customHeight="1">
      <c r="N306" s="13"/>
    </row>
    <row r="307" spans="14:14" ht="14.25" customHeight="1">
      <c r="N307" s="13"/>
    </row>
    <row r="308" spans="14:14" ht="14.25" customHeight="1">
      <c r="N308" s="13"/>
    </row>
    <row r="309" spans="14:14" ht="14.25" customHeight="1">
      <c r="N309" s="13"/>
    </row>
    <row r="310" spans="14:14" ht="14.25" customHeight="1">
      <c r="N310" s="13"/>
    </row>
    <row r="311" spans="14:14" ht="14.25" customHeight="1">
      <c r="N311" s="13"/>
    </row>
    <row r="312" spans="14:14" ht="14.25" customHeight="1">
      <c r="N312" s="13"/>
    </row>
    <row r="313" spans="14:14" ht="14.25" customHeight="1">
      <c r="N313" s="13"/>
    </row>
    <row r="314" spans="14:14" ht="14.25" customHeight="1">
      <c r="N314" s="13"/>
    </row>
    <row r="315" spans="14:14" ht="14.25" customHeight="1">
      <c r="N315" s="13"/>
    </row>
    <row r="316" spans="14:14" ht="14.25" customHeight="1">
      <c r="N316" s="13"/>
    </row>
    <row r="317" spans="14:14" ht="14.25" customHeight="1">
      <c r="N317" s="13"/>
    </row>
    <row r="318" spans="14:14" ht="14.25" customHeight="1">
      <c r="N318" s="13"/>
    </row>
    <row r="319" spans="14:14" ht="14.25" customHeight="1">
      <c r="N319" s="13"/>
    </row>
    <row r="320" spans="14:14" ht="14.25" customHeight="1">
      <c r="N320" s="13"/>
    </row>
    <row r="321" spans="14:14" ht="14.25" customHeight="1">
      <c r="N321" s="13"/>
    </row>
    <row r="322" spans="14:14" ht="14.25" customHeight="1">
      <c r="N322" s="13"/>
    </row>
    <row r="323" spans="14:14" ht="14.25" customHeight="1">
      <c r="N323" s="13"/>
    </row>
    <row r="324" spans="14:14" ht="14.25" customHeight="1">
      <c r="N324" s="13"/>
    </row>
    <row r="325" spans="14:14" ht="14.25" customHeight="1">
      <c r="N325" s="13"/>
    </row>
    <row r="326" spans="14:14" ht="14.25" customHeight="1">
      <c r="N326" s="13"/>
    </row>
    <row r="327" spans="14:14" ht="14.25" customHeight="1">
      <c r="N327" s="13"/>
    </row>
    <row r="328" spans="14:14" ht="14.25" customHeight="1">
      <c r="N328" s="13"/>
    </row>
    <row r="329" spans="14:14" ht="14.25" customHeight="1">
      <c r="N329" s="13"/>
    </row>
    <row r="330" spans="14:14" ht="14.25" customHeight="1">
      <c r="N330" s="13"/>
    </row>
    <row r="331" spans="14:14" ht="14.25" customHeight="1">
      <c r="N331" s="13"/>
    </row>
    <row r="332" spans="14:14" ht="14.25" customHeight="1">
      <c r="N332" s="13"/>
    </row>
    <row r="333" spans="14:14" ht="14.25" customHeight="1">
      <c r="N333" s="13"/>
    </row>
    <row r="334" spans="14:14" ht="14.25" customHeight="1">
      <c r="N334" s="13"/>
    </row>
    <row r="335" spans="14:14" ht="14.25" customHeight="1">
      <c r="N335" s="13"/>
    </row>
    <row r="336" spans="14:14" ht="14.25" customHeight="1">
      <c r="N336" s="13"/>
    </row>
    <row r="337" spans="14:14" ht="14.25" customHeight="1">
      <c r="N337" s="13"/>
    </row>
    <row r="338" spans="14:14" ht="14.25" customHeight="1">
      <c r="N338" s="13"/>
    </row>
    <row r="339" spans="14:14" ht="14.25" customHeight="1">
      <c r="N339" s="13"/>
    </row>
    <row r="340" spans="14:14" ht="14.25" customHeight="1">
      <c r="N340" s="13"/>
    </row>
    <row r="341" spans="14:14" ht="14.25" customHeight="1">
      <c r="N341" s="13"/>
    </row>
    <row r="342" spans="14:14" ht="14.25" customHeight="1">
      <c r="N342" s="13"/>
    </row>
    <row r="343" spans="14:14" ht="14.25" customHeight="1">
      <c r="N343" s="13"/>
    </row>
    <row r="344" spans="14:14" ht="14.25" customHeight="1">
      <c r="N344" s="13"/>
    </row>
    <row r="345" spans="14:14" ht="14.25" customHeight="1">
      <c r="N345" s="13"/>
    </row>
    <row r="346" spans="14:14" ht="14.25" customHeight="1">
      <c r="N346" s="13"/>
    </row>
    <row r="347" spans="14:14" ht="14.25" customHeight="1">
      <c r="N347" s="13"/>
    </row>
    <row r="348" spans="14:14" ht="14.25" customHeight="1">
      <c r="N348" s="13"/>
    </row>
    <row r="349" spans="14:14" ht="14.25" customHeight="1">
      <c r="N349" s="13"/>
    </row>
    <row r="350" spans="14:14" ht="14.25" customHeight="1">
      <c r="N350" s="13"/>
    </row>
    <row r="351" spans="14:14" ht="14.25" customHeight="1">
      <c r="N351" s="13"/>
    </row>
    <row r="352" spans="14:14" ht="14.25" customHeight="1">
      <c r="N352" s="13"/>
    </row>
    <row r="353" spans="14:14" ht="14.25" customHeight="1">
      <c r="N353" s="13"/>
    </row>
    <row r="354" spans="14:14" ht="14.25" customHeight="1">
      <c r="N354" s="13"/>
    </row>
    <row r="355" spans="14:14" ht="14.25" customHeight="1">
      <c r="N355" s="13"/>
    </row>
    <row r="356" spans="14:14" ht="14.25" customHeight="1">
      <c r="N356" s="13"/>
    </row>
    <row r="357" spans="14:14" ht="14.25" customHeight="1">
      <c r="N357" s="13"/>
    </row>
    <row r="358" spans="14:14" ht="14.25" customHeight="1">
      <c r="N358" s="13"/>
    </row>
    <row r="359" spans="14:14" ht="14.25" customHeight="1">
      <c r="N359" s="13"/>
    </row>
    <row r="360" spans="14:14" ht="14.25" customHeight="1">
      <c r="N360" s="13"/>
    </row>
    <row r="361" spans="14:14" ht="14.25" customHeight="1">
      <c r="N361" s="13"/>
    </row>
    <row r="362" spans="14:14" ht="14.25" customHeight="1">
      <c r="N362" s="13"/>
    </row>
    <row r="363" spans="14:14" ht="14.25" customHeight="1">
      <c r="N363" s="13"/>
    </row>
    <row r="364" spans="14:14" ht="14.25" customHeight="1">
      <c r="N364" s="13"/>
    </row>
    <row r="365" spans="14:14" ht="14.25" customHeight="1">
      <c r="N365" s="13"/>
    </row>
    <row r="366" spans="14:14" ht="14.25" customHeight="1">
      <c r="N366" s="13"/>
    </row>
    <row r="367" spans="14:14" ht="14.25" customHeight="1">
      <c r="N367" s="13"/>
    </row>
    <row r="368" spans="14:14" ht="14.25" customHeight="1">
      <c r="N368" s="13"/>
    </row>
    <row r="369" spans="14:14" ht="14.25" customHeight="1">
      <c r="N369" s="13"/>
    </row>
    <row r="370" spans="14:14" ht="14.25" customHeight="1">
      <c r="N370" s="13"/>
    </row>
    <row r="371" spans="14:14" ht="14.25" customHeight="1">
      <c r="N371" s="13"/>
    </row>
    <row r="372" spans="14:14" ht="14.25" customHeight="1">
      <c r="N372" s="13"/>
    </row>
    <row r="373" spans="14:14" ht="14.25" customHeight="1">
      <c r="N373" s="13"/>
    </row>
    <row r="374" spans="14:14" ht="14.25" customHeight="1">
      <c r="N374" s="13"/>
    </row>
    <row r="375" spans="14:14" ht="14.25" customHeight="1">
      <c r="N375" s="13"/>
    </row>
    <row r="376" spans="14:14" ht="14.25" customHeight="1">
      <c r="N376" s="13"/>
    </row>
    <row r="377" spans="14:14" ht="14.25" customHeight="1">
      <c r="N377" s="13"/>
    </row>
    <row r="378" spans="14:14" ht="14.25" customHeight="1">
      <c r="N378" s="13"/>
    </row>
    <row r="379" spans="14:14" ht="14.25" customHeight="1">
      <c r="N379" s="13"/>
    </row>
    <row r="380" spans="14:14" ht="14.25" customHeight="1">
      <c r="N380" s="13"/>
    </row>
    <row r="381" spans="14:14" ht="14.25" customHeight="1">
      <c r="N381" s="13"/>
    </row>
    <row r="382" spans="14:14" ht="14.25" customHeight="1">
      <c r="N382" s="13"/>
    </row>
    <row r="383" spans="14:14" ht="14.25" customHeight="1">
      <c r="N383" s="13"/>
    </row>
    <row r="384" spans="14:14" ht="14.25" customHeight="1">
      <c r="N384" s="13"/>
    </row>
    <row r="385" spans="14:14" ht="14.25" customHeight="1">
      <c r="N385" s="13"/>
    </row>
    <row r="386" spans="14:14" ht="14.25" customHeight="1">
      <c r="N386" s="13"/>
    </row>
    <row r="387" spans="14:14" ht="14.25" customHeight="1">
      <c r="N387" s="13"/>
    </row>
    <row r="388" spans="14:14" ht="14.25" customHeight="1">
      <c r="N388" s="13"/>
    </row>
    <row r="389" spans="14:14" ht="14.25" customHeight="1">
      <c r="N389" s="13"/>
    </row>
    <row r="390" spans="14:14" ht="14.25" customHeight="1">
      <c r="N390" s="13"/>
    </row>
    <row r="391" spans="14:14" ht="14.25" customHeight="1">
      <c r="N391" s="13"/>
    </row>
    <row r="392" spans="14:14" ht="14.25" customHeight="1">
      <c r="N392" s="13"/>
    </row>
    <row r="393" spans="14:14" ht="14.25" customHeight="1">
      <c r="N393" s="13"/>
    </row>
    <row r="394" spans="14:14" ht="14.25" customHeight="1">
      <c r="N394" s="13"/>
    </row>
    <row r="395" spans="14:14" ht="14.25" customHeight="1">
      <c r="N395" s="13"/>
    </row>
    <row r="396" spans="14:14" ht="14.25" customHeight="1">
      <c r="N396" s="13"/>
    </row>
    <row r="397" spans="14:14" ht="14.25" customHeight="1">
      <c r="N397" s="13"/>
    </row>
    <row r="398" spans="14:14" ht="14.25" customHeight="1">
      <c r="N398" s="13"/>
    </row>
    <row r="399" spans="14:14" ht="14.25" customHeight="1">
      <c r="N399" s="13"/>
    </row>
    <row r="400" spans="14:14" ht="14.25" customHeight="1">
      <c r="N400" s="13"/>
    </row>
    <row r="401" spans="14:14" ht="14.25" customHeight="1">
      <c r="N401" s="13"/>
    </row>
    <row r="402" spans="14:14" ht="14.25" customHeight="1">
      <c r="N402" s="13"/>
    </row>
    <row r="403" spans="14:14" ht="14.25" customHeight="1">
      <c r="N403" s="13"/>
    </row>
    <row r="404" spans="14:14" ht="14.25" customHeight="1">
      <c r="N404" s="13"/>
    </row>
    <row r="405" spans="14:14" ht="14.25" customHeight="1">
      <c r="N405" s="13"/>
    </row>
    <row r="406" spans="14:14" ht="14.25" customHeight="1">
      <c r="N406" s="13"/>
    </row>
    <row r="407" spans="14:14" ht="14.25" customHeight="1">
      <c r="N407" s="13"/>
    </row>
    <row r="408" spans="14:14" ht="14.25" customHeight="1">
      <c r="N408" s="13"/>
    </row>
    <row r="409" spans="14:14" ht="14.25" customHeight="1">
      <c r="N409" s="13"/>
    </row>
    <row r="410" spans="14:14" ht="14.25" customHeight="1">
      <c r="N410" s="13"/>
    </row>
    <row r="411" spans="14:14" ht="14.25" customHeight="1">
      <c r="N411" s="13"/>
    </row>
    <row r="412" spans="14:14" ht="14.25" customHeight="1">
      <c r="N412" s="13"/>
    </row>
    <row r="413" spans="14:14" ht="14.25" customHeight="1">
      <c r="N413" s="13"/>
    </row>
    <row r="414" spans="14:14" ht="14.25" customHeight="1">
      <c r="N414" s="13"/>
    </row>
    <row r="415" spans="14:14" ht="14.25" customHeight="1">
      <c r="N415" s="13"/>
    </row>
    <row r="416" spans="14:14" ht="14.25" customHeight="1">
      <c r="N416" s="13"/>
    </row>
    <row r="417" spans="14:14" ht="14.25" customHeight="1">
      <c r="N417" s="13"/>
    </row>
    <row r="418" spans="14:14" ht="14.25" customHeight="1">
      <c r="N418" s="13"/>
    </row>
    <row r="419" spans="14:14" ht="14.25" customHeight="1">
      <c r="N419" s="13"/>
    </row>
    <row r="420" spans="14:14" ht="14.25" customHeight="1">
      <c r="N420" s="13"/>
    </row>
    <row r="421" spans="14:14" ht="14.25" customHeight="1">
      <c r="N421" s="13"/>
    </row>
    <row r="422" spans="14:14" ht="14.25" customHeight="1">
      <c r="N422" s="13"/>
    </row>
    <row r="423" spans="14:14" ht="14.25" customHeight="1">
      <c r="N423" s="13"/>
    </row>
    <row r="424" spans="14:14" ht="14.25" customHeight="1">
      <c r="N424" s="13"/>
    </row>
    <row r="425" spans="14:14" ht="14.25" customHeight="1">
      <c r="N425" s="13"/>
    </row>
    <row r="426" spans="14:14" ht="14.25" customHeight="1">
      <c r="N426" s="13"/>
    </row>
    <row r="427" spans="14:14" ht="14.25" customHeight="1">
      <c r="N427" s="13"/>
    </row>
    <row r="428" spans="14:14" ht="14.25" customHeight="1">
      <c r="N428" s="13"/>
    </row>
    <row r="429" spans="14:14" ht="14.25" customHeight="1">
      <c r="N429" s="13"/>
    </row>
    <row r="430" spans="14:14" ht="14.25" customHeight="1">
      <c r="N430" s="13"/>
    </row>
    <row r="431" spans="14:14" ht="14.25" customHeight="1">
      <c r="N431" s="13"/>
    </row>
    <row r="432" spans="14:14" ht="14.25" customHeight="1">
      <c r="N432" s="13"/>
    </row>
    <row r="433" spans="14:14" ht="14.25" customHeight="1">
      <c r="N433" s="13"/>
    </row>
    <row r="434" spans="14:14" ht="14.25" customHeight="1">
      <c r="N434" s="13"/>
    </row>
    <row r="435" spans="14:14" ht="14.25" customHeight="1">
      <c r="N435" s="13"/>
    </row>
    <row r="436" spans="14:14" ht="14.25" customHeight="1">
      <c r="N436" s="13"/>
    </row>
    <row r="437" spans="14:14" ht="14.25" customHeight="1">
      <c r="N437" s="13"/>
    </row>
    <row r="438" spans="14:14" ht="14.25" customHeight="1">
      <c r="N438" s="13"/>
    </row>
    <row r="439" spans="14:14" ht="14.25" customHeight="1">
      <c r="N439" s="13"/>
    </row>
    <row r="440" spans="14:14" ht="14.25" customHeight="1">
      <c r="N440" s="13"/>
    </row>
    <row r="441" spans="14:14" ht="14.25" customHeight="1">
      <c r="N441" s="13"/>
    </row>
    <row r="442" spans="14:14" ht="14.25" customHeight="1">
      <c r="N442" s="13"/>
    </row>
    <row r="443" spans="14:14" ht="14.25" customHeight="1">
      <c r="N443" s="13"/>
    </row>
    <row r="444" spans="14:14" ht="14.25" customHeight="1">
      <c r="N444" s="13"/>
    </row>
    <row r="445" spans="14:14" ht="14.25" customHeight="1">
      <c r="N445" s="13"/>
    </row>
    <row r="446" spans="14:14" ht="14.25" customHeight="1">
      <c r="N446" s="13"/>
    </row>
    <row r="447" spans="14:14" ht="14.25" customHeight="1">
      <c r="N447" s="13"/>
    </row>
    <row r="448" spans="14:14" ht="14.25" customHeight="1">
      <c r="N448" s="13"/>
    </row>
    <row r="449" spans="14:14" ht="14.25" customHeight="1">
      <c r="N449" s="13"/>
    </row>
    <row r="450" spans="14:14" ht="14.25" customHeight="1">
      <c r="N450" s="13"/>
    </row>
    <row r="451" spans="14:14" ht="14.25" customHeight="1">
      <c r="N451" s="13"/>
    </row>
    <row r="452" spans="14:14" ht="14.25" customHeight="1">
      <c r="N452" s="13"/>
    </row>
    <row r="453" spans="14:14" ht="14.25" customHeight="1">
      <c r="N453" s="13"/>
    </row>
    <row r="454" spans="14:14" ht="14.25" customHeight="1">
      <c r="N454" s="13"/>
    </row>
    <row r="455" spans="14:14" ht="14.25" customHeight="1">
      <c r="N455" s="13"/>
    </row>
    <row r="456" spans="14:14" ht="14.25" customHeight="1">
      <c r="N456" s="13"/>
    </row>
    <row r="457" spans="14:14" ht="14.25" customHeight="1">
      <c r="N457" s="13"/>
    </row>
    <row r="458" spans="14:14" ht="14.25" customHeight="1">
      <c r="N458" s="13"/>
    </row>
    <row r="459" spans="14:14" ht="14.25" customHeight="1">
      <c r="N459" s="13"/>
    </row>
    <row r="460" spans="14:14" ht="14.25" customHeight="1">
      <c r="N460" s="13"/>
    </row>
    <row r="461" spans="14:14" ht="14.25" customHeight="1">
      <c r="N461" s="13"/>
    </row>
    <row r="462" spans="14:14" ht="14.25" customHeight="1">
      <c r="N462" s="13"/>
    </row>
    <row r="463" spans="14:14" ht="14.25" customHeight="1">
      <c r="N463" s="13"/>
    </row>
    <row r="464" spans="14:14" ht="14.25" customHeight="1">
      <c r="N464" s="13"/>
    </row>
    <row r="465" spans="14:14" ht="14.25" customHeight="1">
      <c r="N465" s="13"/>
    </row>
    <row r="466" spans="14:14" ht="14.25" customHeight="1">
      <c r="N466" s="13"/>
    </row>
    <row r="467" spans="14:14" ht="14.25" customHeight="1">
      <c r="N467" s="13"/>
    </row>
    <row r="468" spans="14:14" ht="14.25" customHeight="1">
      <c r="N468" s="13"/>
    </row>
    <row r="469" spans="14:14" ht="14.25" customHeight="1">
      <c r="N469" s="13"/>
    </row>
    <row r="470" spans="14:14" ht="14.25" customHeight="1">
      <c r="N470" s="13"/>
    </row>
    <row r="471" spans="14:14" ht="14.25" customHeight="1">
      <c r="N471" s="13"/>
    </row>
    <row r="472" spans="14:14" ht="14.25" customHeight="1">
      <c r="N472" s="13"/>
    </row>
    <row r="473" spans="14:14" ht="14.25" customHeight="1">
      <c r="N473" s="13"/>
    </row>
    <row r="474" spans="14:14" ht="14.25" customHeight="1">
      <c r="N474" s="13"/>
    </row>
    <row r="475" spans="14:14" ht="14.25" customHeight="1">
      <c r="N475" s="13"/>
    </row>
    <row r="476" spans="14:14" ht="14.25" customHeight="1">
      <c r="N476" s="13"/>
    </row>
    <row r="477" spans="14:14" ht="14.25" customHeight="1">
      <c r="N477" s="13"/>
    </row>
    <row r="478" spans="14:14" ht="14.25" customHeight="1">
      <c r="N478" s="13"/>
    </row>
    <row r="479" spans="14:14" ht="14.25" customHeight="1">
      <c r="N479" s="13"/>
    </row>
    <row r="480" spans="14:14" ht="14.25" customHeight="1">
      <c r="N480" s="13"/>
    </row>
    <row r="481" spans="14:14" ht="14.25" customHeight="1">
      <c r="N481" s="13"/>
    </row>
    <row r="482" spans="14:14" ht="14.25" customHeight="1">
      <c r="N482" s="13"/>
    </row>
    <row r="483" spans="14:14" ht="14.25" customHeight="1">
      <c r="N483" s="13"/>
    </row>
    <row r="484" spans="14:14" ht="14.25" customHeight="1">
      <c r="N484" s="13"/>
    </row>
    <row r="485" spans="14:14" ht="14.25" customHeight="1">
      <c r="N485" s="13"/>
    </row>
    <row r="486" spans="14:14" ht="14.25" customHeight="1">
      <c r="N486" s="13"/>
    </row>
    <row r="487" spans="14:14" ht="14.25" customHeight="1">
      <c r="N487" s="13"/>
    </row>
    <row r="488" spans="14:14" ht="14.25" customHeight="1">
      <c r="N488" s="13"/>
    </row>
    <row r="489" spans="14:14" ht="14.25" customHeight="1">
      <c r="N489" s="13"/>
    </row>
    <row r="490" spans="14:14" ht="14.25" customHeight="1">
      <c r="N490" s="13"/>
    </row>
    <row r="491" spans="14:14" ht="14.25" customHeight="1">
      <c r="N491" s="13"/>
    </row>
    <row r="492" spans="14:14" ht="14.25" customHeight="1">
      <c r="N492" s="13"/>
    </row>
    <row r="493" spans="14:14" ht="14.25" customHeight="1">
      <c r="N493" s="13"/>
    </row>
    <row r="494" spans="14:14" ht="14.25" customHeight="1">
      <c r="N494" s="13"/>
    </row>
    <row r="495" spans="14:14" ht="14.25" customHeight="1">
      <c r="N495" s="13"/>
    </row>
    <row r="496" spans="14:14" ht="14.25" customHeight="1">
      <c r="N496" s="13"/>
    </row>
    <row r="497" spans="14:14" ht="14.25" customHeight="1">
      <c r="N497" s="13"/>
    </row>
    <row r="498" spans="14:14" ht="14.25" customHeight="1">
      <c r="N498" s="13"/>
    </row>
    <row r="499" spans="14:14" ht="14.25" customHeight="1">
      <c r="N499" s="13"/>
    </row>
    <row r="500" spans="14:14" ht="14.25" customHeight="1">
      <c r="N500" s="13"/>
    </row>
    <row r="501" spans="14:14" ht="14.25" customHeight="1">
      <c r="N501" s="13"/>
    </row>
    <row r="502" spans="14:14" ht="14.25" customHeight="1">
      <c r="N502" s="13"/>
    </row>
    <row r="503" spans="14:14" ht="14.25" customHeight="1">
      <c r="N503" s="13"/>
    </row>
    <row r="504" spans="14:14" ht="14.25" customHeight="1">
      <c r="N504" s="13"/>
    </row>
    <row r="505" spans="14:14" ht="14.25" customHeight="1">
      <c r="N505" s="13"/>
    </row>
    <row r="506" spans="14:14" ht="14.25" customHeight="1">
      <c r="N506" s="13"/>
    </row>
    <row r="507" spans="14:14" ht="14.25" customHeight="1">
      <c r="N507" s="13"/>
    </row>
    <row r="508" spans="14:14" ht="14.25" customHeight="1">
      <c r="N508" s="13"/>
    </row>
    <row r="509" spans="14:14" ht="14.25" customHeight="1">
      <c r="N509" s="13"/>
    </row>
    <row r="510" spans="14:14" ht="14.25" customHeight="1">
      <c r="N510" s="13"/>
    </row>
    <row r="511" spans="14:14" ht="14.25" customHeight="1">
      <c r="N511" s="13"/>
    </row>
    <row r="512" spans="14:14" ht="14.25" customHeight="1">
      <c r="N512" s="13"/>
    </row>
    <row r="513" spans="14:14" ht="14.25" customHeight="1">
      <c r="N513" s="13"/>
    </row>
    <row r="514" spans="14:14" ht="14.25" customHeight="1">
      <c r="N514" s="13"/>
    </row>
    <row r="515" spans="14:14" ht="14.25" customHeight="1">
      <c r="N515" s="13"/>
    </row>
    <row r="516" spans="14:14" ht="14.25" customHeight="1">
      <c r="N516" s="13"/>
    </row>
    <row r="517" spans="14:14" ht="14.25" customHeight="1">
      <c r="N517" s="13"/>
    </row>
    <row r="518" spans="14:14" ht="14.25" customHeight="1">
      <c r="N518" s="13"/>
    </row>
    <row r="519" spans="14:14" ht="14.25" customHeight="1">
      <c r="N519" s="13"/>
    </row>
    <row r="520" spans="14:14" ht="14.25" customHeight="1">
      <c r="N520" s="13"/>
    </row>
    <row r="521" spans="14:14" ht="14.25" customHeight="1">
      <c r="N521" s="13"/>
    </row>
    <row r="522" spans="14:14" ht="14.25" customHeight="1">
      <c r="N522" s="13"/>
    </row>
    <row r="523" spans="14:14" ht="14.25" customHeight="1">
      <c r="N523" s="13"/>
    </row>
    <row r="524" spans="14:14" ht="14.25" customHeight="1">
      <c r="N524" s="13"/>
    </row>
    <row r="525" spans="14:14" ht="14.25" customHeight="1">
      <c r="N525" s="13"/>
    </row>
    <row r="526" spans="14:14" ht="14.25" customHeight="1">
      <c r="N526" s="13"/>
    </row>
    <row r="527" spans="14:14" ht="14.25" customHeight="1">
      <c r="N527" s="13"/>
    </row>
    <row r="528" spans="14:14" ht="14.25" customHeight="1">
      <c r="N528" s="13"/>
    </row>
    <row r="529" spans="14:14" ht="14.25" customHeight="1">
      <c r="N529" s="13"/>
    </row>
    <row r="530" spans="14:14" ht="14.25" customHeight="1">
      <c r="N530" s="13"/>
    </row>
    <row r="531" spans="14:14" ht="14.25" customHeight="1">
      <c r="N531" s="13"/>
    </row>
    <row r="532" spans="14:14" ht="14.25" customHeight="1">
      <c r="N532" s="13"/>
    </row>
    <row r="533" spans="14:14" ht="14.25" customHeight="1">
      <c r="N533" s="13"/>
    </row>
    <row r="534" spans="14:14" ht="14.25" customHeight="1">
      <c r="N534" s="13"/>
    </row>
    <row r="535" spans="14:14" ht="14.25" customHeight="1">
      <c r="N535" s="13"/>
    </row>
    <row r="536" spans="14:14" ht="14.25" customHeight="1">
      <c r="N536" s="13"/>
    </row>
    <row r="537" spans="14:14" ht="14.25" customHeight="1">
      <c r="N537" s="13"/>
    </row>
    <row r="538" spans="14:14" ht="14.25" customHeight="1">
      <c r="N538" s="13"/>
    </row>
    <row r="539" spans="14:14" ht="14.25" customHeight="1">
      <c r="N539" s="13"/>
    </row>
    <row r="540" spans="14:14" ht="14.25" customHeight="1">
      <c r="N540" s="13"/>
    </row>
    <row r="541" spans="14:14" ht="14.25" customHeight="1">
      <c r="N541" s="13"/>
    </row>
    <row r="542" spans="14:14" ht="14.25" customHeight="1">
      <c r="N542" s="13"/>
    </row>
    <row r="543" spans="14:14" ht="14.25" customHeight="1">
      <c r="N543" s="13"/>
    </row>
    <row r="544" spans="14:14" ht="14.25" customHeight="1">
      <c r="N544" s="13"/>
    </row>
    <row r="545" spans="14:14" ht="14.25" customHeight="1">
      <c r="N545" s="13"/>
    </row>
    <row r="546" spans="14:14" ht="14.25" customHeight="1">
      <c r="N546" s="13"/>
    </row>
    <row r="547" spans="14:14" ht="14.25" customHeight="1">
      <c r="N547" s="13"/>
    </row>
    <row r="548" spans="14:14" ht="14.25" customHeight="1">
      <c r="N548" s="13"/>
    </row>
    <row r="549" spans="14:14" ht="14.25" customHeight="1">
      <c r="N549" s="13"/>
    </row>
    <row r="550" spans="14:14" ht="14.25" customHeight="1">
      <c r="N550" s="13"/>
    </row>
    <row r="551" spans="14:14" ht="14.25" customHeight="1">
      <c r="N551" s="13"/>
    </row>
    <row r="552" spans="14:14" ht="14.25" customHeight="1">
      <c r="N552" s="13"/>
    </row>
    <row r="553" spans="14:14" ht="14.25" customHeight="1">
      <c r="N553" s="13"/>
    </row>
    <row r="554" spans="14:14" ht="14.25" customHeight="1">
      <c r="N554" s="13"/>
    </row>
    <row r="555" spans="14:14" ht="14.25" customHeight="1">
      <c r="N555" s="13"/>
    </row>
    <row r="556" spans="14:14" ht="14.25" customHeight="1">
      <c r="N556" s="13"/>
    </row>
    <row r="557" spans="14:14" ht="14.25" customHeight="1">
      <c r="N557" s="13"/>
    </row>
    <row r="558" spans="14:14" ht="14.25" customHeight="1">
      <c r="N558" s="13"/>
    </row>
    <row r="559" spans="14:14" ht="14.25" customHeight="1">
      <c r="N559" s="13"/>
    </row>
    <row r="560" spans="14:14" ht="14.25" customHeight="1">
      <c r="N560" s="13"/>
    </row>
    <row r="561" spans="14:14" ht="14.25" customHeight="1">
      <c r="N561" s="13"/>
    </row>
    <row r="562" spans="14:14" ht="14.25" customHeight="1">
      <c r="N562" s="13"/>
    </row>
    <row r="563" spans="14:14" ht="14.25" customHeight="1">
      <c r="N563" s="13"/>
    </row>
    <row r="564" spans="14:14" ht="14.25" customHeight="1">
      <c r="N564" s="13"/>
    </row>
    <row r="565" spans="14:14" ht="14.25" customHeight="1">
      <c r="N565" s="13"/>
    </row>
    <row r="566" spans="14:14" ht="14.25" customHeight="1">
      <c r="N566" s="13"/>
    </row>
    <row r="567" spans="14:14" ht="14.25" customHeight="1">
      <c r="N567" s="13"/>
    </row>
    <row r="568" spans="14:14" ht="14.25" customHeight="1">
      <c r="N568" s="13"/>
    </row>
    <row r="569" spans="14:14" ht="14.25" customHeight="1">
      <c r="N569" s="13"/>
    </row>
    <row r="570" spans="14:14" ht="14.25" customHeight="1">
      <c r="N570" s="13"/>
    </row>
    <row r="571" spans="14:14" ht="14.25" customHeight="1">
      <c r="N571" s="13"/>
    </row>
    <row r="572" spans="14:14" ht="14.25" customHeight="1">
      <c r="N572" s="13"/>
    </row>
    <row r="573" spans="14:14" ht="14.25" customHeight="1">
      <c r="N573" s="13"/>
    </row>
    <row r="574" spans="14:14" ht="14.25" customHeight="1">
      <c r="N574" s="13"/>
    </row>
    <row r="575" spans="14:14" ht="14.25" customHeight="1">
      <c r="N575" s="13"/>
    </row>
    <row r="576" spans="14:14" ht="14.25" customHeight="1">
      <c r="N576" s="13"/>
    </row>
    <row r="577" spans="14:14" ht="14.25" customHeight="1">
      <c r="N577" s="13"/>
    </row>
    <row r="578" spans="14:14" ht="14.25" customHeight="1">
      <c r="N578" s="13"/>
    </row>
    <row r="579" spans="14:14" ht="14.25" customHeight="1">
      <c r="N579" s="13"/>
    </row>
    <row r="580" spans="14:14" ht="14.25" customHeight="1">
      <c r="N580" s="13"/>
    </row>
    <row r="581" spans="14:14" ht="14.25" customHeight="1">
      <c r="N581" s="13"/>
    </row>
    <row r="582" spans="14:14" ht="14.25" customHeight="1">
      <c r="N582" s="13"/>
    </row>
    <row r="583" spans="14:14" ht="14.25" customHeight="1">
      <c r="N583" s="13"/>
    </row>
    <row r="584" spans="14:14" ht="14.25" customHeight="1">
      <c r="N584" s="13"/>
    </row>
    <row r="585" spans="14:14" ht="14.25" customHeight="1">
      <c r="N585" s="13"/>
    </row>
    <row r="586" spans="14:14" ht="14.25" customHeight="1">
      <c r="N586" s="13"/>
    </row>
    <row r="587" spans="14:14" ht="14.25" customHeight="1">
      <c r="N587" s="13"/>
    </row>
    <row r="588" spans="14:14" ht="14.25" customHeight="1">
      <c r="N588" s="13"/>
    </row>
    <row r="589" spans="14:14" ht="14.25" customHeight="1">
      <c r="N589" s="13"/>
    </row>
    <row r="590" spans="14:14" ht="14.25" customHeight="1">
      <c r="N590" s="13"/>
    </row>
    <row r="591" spans="14:14" ht="14.25" customHeight="1">
      <c r="N591" s="13"/>
    </row>
    <row r="592" spans="14:14" ht="14.25" customHeight="1">
      <c r="N592" s="13"/>
    </row>
    <row r="593" spans="14:14" ht="14.25" customHeight="1">
      <c r="N593" s="13"/>
    </row>
    <row r="594" spans="14:14" ht="14.25" customHeight="1">
      <c r="N594" s="13"/>
    </row>
    <row r="595" spans="14:14" ht="14.25" customHeight="1">
      <c r="N595" s="13"/>
    </row>
    <row r="596" spans="14:14" ht="14.25" customHeight="1">
      <c r="N596" s="13"/>
    </row>
    <row r="597" spans="14:14" ht="14.25" customHeight="1">
      <c r="N597" s="13"/>
    </row>
    <row r="598" spans="14:14" ht="14.25" customHeight="1">
      <c r="N598" s="13"/>
    </row>
    <row r="599" spans="14:14" ht="14.25" customHeight="1">
      <c r="N599" s="13"/>
    </row>
    <row r="600" spans="14:14" ht="14.25" customHeight="1">
      <c r="N600" s="13"/>
    </row>
    <row r="601" spans="14:14" ht="14.25" customHeight="1">
      <c r="N601" s="13"/>
    </row>
    <row r="602" spans="14:14" ht="14.25" customHeight="1">
      <c r="N602" s="13"/>
    </row>
    <row r="603" spans="14:14" ht="14.25" customHeight="1">
      <c r="N603" s="13"/>
    </row>
    <row r="604" spans="14:14" ht="14.25" customHeight="1">
      <c r="N604" s="13"/>
    </row>
    <row r="605" spans="14:14" ht="14.25" customHeight="1">
      <c r="N605" s="13"/>
    </row>
    <row r="606" spans="14:14" ht="14.25" customHeight="1">
      <c r="N606" s="13"/>
    </row>
    <row r="607" spans="14:14" ht="14.25" customHeight="1">
      <c r="N607" s="13"/>
    </row>
    <row r="608" spans="14:14" ht="14.25" customHeight="1">
      <c r="N608" s="13"/>
    </row>
    <row r="609" spans="14:14" ht="14.25" customHeight="1">
      <c r="N609" s="13"/>
    </row>
    <row r="610" spans="14:14" ht="14.25" customHeight="1">
      <c r="N610" s="13"/>
    </row>
    <row r="611" spans="14:14" ht="14.25" customHeight="1">
      <c r="N611" s="13"/>
    </row>
    <row r="612" spans="14:14" ht="14.25" customHeight="1">
      <c r="N612" s="13"/>
    </row>
    <row r="613" spans="14:14" ht="14.25" customHeight="1">
      <c r="N613" s="13"/>
    </row>
    <row r="614" spans="14:14" ht="14.25" customHeight="1">
      <c r="N614" s="13"/>
    </row>
    <row r="615" spans="14:14" ht="14.25" customHeight="1">
      <c r="N615" s="13"/>
    </row>
    <row r="616" spans="14:14" ht="14.25" customHeight="1">
      <c r="N616" s="13"/>
    </row>
    <row r="617" spans="14:14" ht="14.25" customHeight="1">
      <c r="N617" s="13"/>
    </row>
    <row r="618" spans="14:14" ht="14.25" customHeight="1">
      <c r="N618" s="13"/>
    </row>
    <row r="619" spans="14:14" ht="14.25" customHeight="1">
      <c r="N619" s="13"/>
    </row>
    <row r="620" spans="14:14" ht="14.25" customHeight="1">
      <c r="N620" s="13"/>
    </row>
    <row r="621" spans="14:14" ht="14.25" customHeight="1">
      <c r="N621" s="13"/>
    </row>
    <row r="622" spans="14:14" ht="14.25" customHeight="1">
      <c r="N622" s="13"/>
    </row>
    <row r="623" spans="14:14" ht="14.25" customHeight="1">
      <c r="N623" s="13"/>
    </row>
    <row r="624" spans="14:14" ht="14.25" customHeight="1">
      <c r="N624" s="13"/>
    </row>
    <row r="625" spans="14:14" ht="14.25" customHeight="1">
      <c r="N625" s="13"/>
    </row>
    <row r="626" spans="14:14" ht="14.25" customHeight="1">
      <c r="N626" s="13"/>
    </row>
    <row r="627" spans="14:14" ht="14.25" customHeight="1">
      <c r="N627" s="13"/>
    </row>
    <row r="628" spans="14:14" ht="14.25" customHeight="1">
      <c r="N628" s="13"/>
    </row>
    <row r="629" spans="14:14" ht="14.25" customHeight="1">
      <c r="N629" s="13"/>
    </row>
    <row r="630" spans="14:14" ht="14.25" customHeight="1">
      <c r="N630" s="13"/>
    </row>
    <row r="631" spans="14:14" ht="14.25" customHeight="1">
      <c r="N631" s="13"/>
    </row>
    <row r="632" spans="14:14" ht="14.25" customHeight="1">
      <c r="N632" s="13"/>
    </row>
    <row r="633" spans="14:14" ht="14.25" customHeight="1">
      <c r="N633" s="13"/>
    </row>
    <row r="634" spans="14:14" ht="14.25" customHeight="1">
      <c r="N634" s="13"/>
    </row>
    <row r="635" spans="14:14" ht="14.25" customHeight="1">
      <c r="N635" s="13"/>
    </row>
    <row r="636" spans="14:14" ht="14.25" customHeight="1">
      <c r="N636" s="13"/>
    </row>
    <row r="637" spans="14:14" ht="14.25" customHeight="1">
      <c r="N637" s="13"/>
    </row>
    <row r="638" spans="14:14" ht="14.25" customHeight="1">
      <c r="N638" s="13"/>
    </row>
    <row r="639" spans="14:14" ht="14.25" customHeight="1">
      <c r="N639" s="13"/>
    </row>
    <row r="640" spans="14:14" ht="14.25" customHeight="1">
      <c r="N640" s="13"/>
    </row>
    <row r="641" spans="14:14" ht="14.25" customHeight="1">
      <c r="N641" s="13"/>
    </row>
    <row r="642" spans="14:14" ht="14.25" customHeight="1">
      <c r="N642" s="13"/>
    </row>
    <row r="643" spans="14:14" ht="14.25" customHeight="1">
      <c r="N643" s="13"/>
    </row>
    <row r="644" spans="14:14" ht="14.25" customHeight="1">
      <c r="N644" s="13"/>
    </row>
    <row r="645" spans="14:14" ht="14.25" customHeight="1">
      <c r="N645" s="13"/>
    </row>
    <row r="646" spans="14:14" ht="14.25" customHeight="1">
      <c r="N646" s="13"/>
    </row>
    <row r="647" spans="14:14" ht="14.25" customHeight="1">
      <c r="N647" s="13"/>
    </row>
    <row r="648" spans="14:14" ht="14.25" customHeight="1">
      <c r="N648" s="13"/>
    </row>
    <row r="649" spans="14:14" ht="14.25" customHeight="1">
      <c r="N649" s="13"/>
    </row>
    <row r="650" spans="14:14" ht="14.25" customHeight="1">
      <c r="N650" s="13"/>
    </row>
    <row r="651" spans="14:14" ht="14.25" customHeight="1">
      <c r="N651" s="13"/>
    </row>
    <row r="652" spans="14:14" ht="14.25" customHeight="1">
      <c r="N652" s="13"/>
    </row>
    <row r="653" spans="14:14" ht="14.25" customHeight="1">
      <c r="N653" s="13"/>
    </row>
    <row r="654" spans="14:14" ht="14.25" customHeight="1">
      <c r="N654" s="13"/>
    </row>
    <row r="655" spans="14:14" ht="14.25" customHeight="1">
      <c r="N655" s="13"/>
    </row>
    <row r="656" spans="14:14" ht="14.25" customHeight="1">
      <c r="N656" s="13"/>
    </row>
    <row r="657" spans="14:14" ht="14.25" customHeight="1">
      <c r="N657" s="13"/>
    </row>
    <row r="658" spans="14:14" ht="14.25" customHeight="1">
      <c r="N658" s="13"/>
    </row>
    <row r="659" spans="14:14" ht="14.25" customHeight="1">
      <c r="N659" s="13"/>
    </row>
    <row r="660" spans="14:14" ht="14.25" customHeight="1">
      <c r="N660" s="13"/>
    </row>
    <row r="661" spans="14:14" ht="14.25" customHeight="1">
      <c r="N661" s="13"/>
    </row>
    <row r="662" spans="14:14" ht="14.25" customHeight="1">
      <c r="N662" s="13"/>
    </row>
    <row r="663" spans="14:14" ht="14.25" customHeight="1">
      <c r="N663" s="13"/>
    </row>
    <row r="664" spans="14:14" ht="14.25" customHeight="1">
      <c r="N664" s="13"/>
    </row>
    <row r="665" spans="14:14" ht="14.25" customHeight="1">
      <c r="N665" s="13"/>
    </row>
    <row r="666" spans="14:14" ht="14.25" customHeight="1">
      <c r="N666" s="13"/>
    </row>
    <row r="667" spans="14:14" ht="14.25" customHeight="1">
      <c r="N667" s="13"/>
    </row>
    <row r="668" spans="14:14" ht="14.25" customHeight="1">
      <c r="N668" s="13"/>
    </row>
    <row r="669" spans="14:14" ht="14.25" customHeight="1">
      <c r="N669" s="13"/>
    </row>
    <row r="670" spans="14:14" ht="14.25" customHeight="1">
      <c r="N670" s="13"/>
    </row>
    <row r="671" spans="14:14" ht="14.25" customHeight="1">
      <c r="N671" s="13"/>
    </row>
    <row r="672" spans="14:14" ht="14.25" customHeight="1">
      <c r="N672" s="13"/>
    </row>
    <row r="673" spans="14:14" ht="14.25" customHeight="1">
      <c r="N673" s="13"/>
    </row>
    <row r="674" spans="14:14" ht="14.25" customHeight="1">
      <c r="N674" s="13"/>
    </row>
    <row r="675" spans="14:14" ht="14.25" customHeight="1">
      <c r="N675" s="13"/>
    </row>
    <row r="676" spans="14:14" ht="14.25" customHeight="1">
      <c r="N676" s="13"/>
    </row>
    <row r="677" spans="14:14" ht="14.25" customHeight="1">
      <c r="N677" s="13"/>
    </row>
    <row r="678" spans="14:14" ht="14.25" customHeight="1">
      <c r="N678" s="13"/>
    </row>
    <row r="679" spans="14:14" ht="14.25" customHeight="1">
      <c r="N679" s="13"/>
    </row>
    <row r="680" spans="14:14" ht="14.25" customHeight="1">
      <c r="N680" s="13"/>
    </row>
    <row r="681" spans="14:14" ht="14.25" customHeight="1">
      <c r="N681" s="13"/>
    </row>
    <row r="682" spans="14:14" ht="14.25" customHeight="1">
      <c r="N682" s="13"/>
    </row>
    <row r="683" spans="14:14" ht="14.25" customHeight="1">
      <c r="N683" s="13"/>
    </row>
    <row r="684" spans="14:14" ht="14.25" customHeight="1">
      <c r="N684" s="13"/>
    </row>
    <row r="685" spans="14:14" ht="14.25" customHeight="1">
      <c r="N685" s="13"/>
    </row>
    <row r="686" spans="14:14" ht="14.25" customHeight="1">
      <c r="N686" s="13"/>
    </row>
    <row r="687" spans="14:14" ht="14.25" customHeight="1">
      <c r="N687" s="13"/>
    </row>
    <row r="688" spans="14:14" ht="14.25" customHeight="1">
      <c r="N688" s="13"/>
    </row>
    <row r="689" spans="14:14" ht="14.25" customHeight="1">
      <c r="N689" s="13"/>
    </row>
    <row r="690" spans="14:14" ht="14.25" customHeight="1">
      <c r="N690" s="13"/>
    </row>
    <row r="691" spans="14:14" ht="14.25" customHeight="1">
      <c r="N691" s="13"/>
    </row>
    <row r="692" spans="14:14" ht="14.25" customHeight="1">
      <c r="N692" s="13"/>
    </row>
    <row r="693" spans="14:14" ht="14.25" customHeight="1">
      <c r="N693" s="13"/>
    </row>
    <row r="694" spans="14:14" ht="14.25" customHeight="1">
      <c r="N694" s="13"/>
    </row>
    <row r="695" spans="14:14" ht="14.25" customHeight="1">
      <c r="N695" s="13"/>
    </row>
    <row r="696" spans="14:14" ht="14.25" customHeight="1">
      <c r="N696" s="13"/>
    </row>
    <row r="697" spans="14:14" ht="14.25" customHeight="1">
      <c r="N697" s="13"/>
    </row>
    <row r="698" spans="14:14" ht="14.25" customHeight="1">
      <c r="N698" s="13"/>
    </row>
    <row r="699" spans="14:14" ht="14.25" customHeight="1">
      <c r="N699" s="13"/>
    </row>
    <row r="700" spans="14:14" ht="14.25" customHeight="1">
      <c r="N700" s="13"/>
    </row>
    <row r="701" spans="14:14" ht="14.25" customHeight="1">
      <c r="N701" s="13"/>
    </row>
    <row r="702" spans="14:14" ht="14.25" customHeight="1">
      <c r="N702" s="13"/>
    </row>
    <row r="703" spans="14:14" ht="14.25" customHeight="1">
      <c r="N703" s="13"/>
    </row>
    <row r="704" spans="14:14" ht="14.25" customHeight="1">
      <c r="N704" s="13"/>
    </row>
    <row r="705" spans="14:14" ht="14.25" customHeight="1">
      <c r="N705" s="13"/>
    </row>
    <row r="706" spans="14:14" ht="14.25" customHeight="1">
      <c r="N706" s="13"/>
    </row>
    <row r="707" spans="14:14" ht="14.25" customHeight="1">
      <c r="N707" s="13"/>
    </row>
    <row r="708" spans="14:14" ht="14.25" customHeight="1">
      <c r="N708" s="13"/>
    </row>
    <row r="709" spans="14:14" ht="14.25" customHeight="1">
      <c r="N709" s="13"/>
    </row>
    <row r="710" spans="14:14" ht="14.25" customHeight="1">
      <c r="N710" s="13"/>
    </row>
    <row r="711" spans="14:14" ht="14.25" customHeight="1">
      <c r="N711" s="13"/>
    </row>
    <row r="712" spans="14:14" ht="14.25" customHeight="1">
      <c r="N712" s="13"/>
    </row>
    <row r="713" spans="14:14" ht="14.25" customHeight="1">
      <c r="N713" s="13"/>
    </row>
    <row r="714" spans="14:14" ht="14.25" customHeight="1">
      <c r="N714" s="13"/>
    </row>
    <row r="715" spans="14:14" ht="14.25" customHeight="1">
      <c r="N715" s="13"/>
    </row>
    <row r="716" spans="14:14" ht="14.25" customHeight="1">
      <c r="N716" s="13"/>
    </row>
    <row r="717" spans="14:14" ht="14.25" customHeight="1">
      <c r="N717" s="13"/>
    </row>
    <row r="718" spans="14:14" ht="14.25" customHeight="1">
      <c r="N718" s="13"/>
    </row>
    <row r="719" spans="14:14" ht="14.25" customHeight="1">
      <c r="N719" s="13"/>
    </row>
    <row r="720" spans="14:14" ht="14.25" customHeight="1">
      <c r="N720" s="13"/>
    </row>
    <row r="721" spans="14:14" ht="14.25" customHeight="1">
      <c r="N721" s="13"/>
    </row>
    <row r="722" spans="14:14" ht="14.25" customHeight="1">
      <c r="N722" s="13"/>
    </row>
    <row r="723" spans="14:14" ht="14.25" customHeight="1">
      <c r="N723" s="13"/>
    </row>
    <row r="724" spans="14:14" ht="14.25" customHeight="1">
      <c r="N724" s="13"/>
    </row>
    <row r="725" spans="14:14" ht="14.25" customHeight="1">
      <c r="N725" s="13"/>
    </row>
    <row r="726" spans="14:14" ht="14.25" customHeight="1">
      <c r="N726" s="13"/>
    </row>
    <row r="727" spans="14:14" ht="14.25" customHeight="1">
      <c r="N727" s="13"/>
    </row>
    <row r="728" spans="14:14" ht="14.25" customHeight="1">
      <c r="N728" s="13"/>
    </row>
    <row r="729" spans="14:14" ht="14.25" customHeight="1">
      <c r="N729" s="13"/>
    </row>
    <row r="730" spans="14:14" ht="14.25" customHeight="1">
      <c r="N730" s="13"/>
    </row>
    <row r="731" spans="14:14" ht="14.25" customHeight="1">
      <c r="N731" s="13"/>
    </row>
    <row r="732" spans="14:14" ht="14.25" customHeight="1">
      <c r="N732" s="13"/>
    </row>
    <row r="733" spans="14:14" ht="14.25" customHeight="1">
      <c r="N733" s="13"/>
    </row>
    <row r="734" spans="14:14" ht="14.25" customHeight="1">
      <c r="N734" s="13"/>
    </row>
    <row r="735" spans="14:14" ht="14.25" customHeight="1">
      <c r="N735" s="13"/>
    </row>
    <row r="736" spans="14:14" ht="14.25" customHeight="1">
      <c r="N736" s="13"/>
    </row>
    <row r="737" spans="14:14" ht="14.25" customHeight="1">
      <c r="N737" s="13"/>
    </row>
    <row r="738" spans="14:14" ht="14.25" customHeight="1">
      <c r="N738" s="13"/>
    </row>
    <row r="739" spans="14:14" ht="14.25" customHeight="1">
      <c r="N739" s="13"/>
    </row>
    <row r="740" spans="14:14" ht="14.25" customHeight="1">
      <c r="N740" s="13"/>
    </row>
    <row r="741" spans="14:14" ht="14.25" customHeight="1">
      <c r="N741" s="13"/>
    </row>
    <row r="742" spans="14:14" ht="14.25" customHeight="1">
      <c r="N742" s="13"/>
    </row>
    <row r="743" spans="14:14" ht="14.25" customHeight="1">
      <c r="N743" s="13"/>
    </row>
    <row r="744" spans="14:14" ht="14.25" customHeight="1">
      <c r="N744" s="13"/>
    </row>
    <row r="745" spans="14:14" ht="14.25" customHeight="1">
      <c r="N745" s="13"/>
    </row>
    <row r="746" spans="14:14" ht="14.25" customHeight="1">
      <c r="N746" s="13"/>
    </row>
    <row r="747" spans="14:14" ht="14.25" customHeight="1">
      <c r="N747" s="13"/>
    </row>
    <row r="748" spans="14:14" ht="14.25" customHeight="1">
      <c r="N748" s="13"/>
    </row>
    <row r="749" spans="14:14" ht="14.25" customHeight="1">
      <c r="N749" s="13"/>
    </row>
    <row r="750" spans="14:14" ht="14.25" customHeight="1">
      <c r="N750" s="13"/>
    </row>
    <row r="751" spans="14:14" ht="14.25" customHeight="1">
      <c r="N751" s="13"/>
    </row>
    <row r="752" spans="14:14" ht="14.25" customHeight="1">
      <c r="N752" s="13"/>
    </row>
    <row r="753" spans="14:14" ht="14.25" customHeight="1">
      <c r="N753" s="13"/>
    </row>
    <row r="754" spans="14:14" ht="14.25" customHeight="1">
      <c r="N754" s="13"/>
    </row>
    <row r="755" spans="14:14" ht="14.25" customHeight="1">
      <c r="N755" s="13"/>
    </row>
    <row r="756" spans="14:14" ht="14.25" customHeight="1">
      <c r="N756" s="13"/>
    </row>
    <row r="757" spans="14:14" ht="14.25" customHeight="1">
      <c r="N757" s="13"/>
    </row>
    <row r="758" spans="14:14" ht="14.25" customHeight="1">
      <c r="N758" s="13"/>
    </row>
    <row r="759" spans="14:14" ht="14.25" customHeight="1">
      <c r="N759" s="13"/>
    </row>
    <row r="760" spans="14:14" ht="14.25" customHeight="1">
      <c r="N760" s="13"/>
    </row>
    <row r="761" spans="14:14" ht="14.25" customHeight="1">
      <c r="N761" s="13"/>
    </row>
    <row r="762" spans="14:14" ht="14.25" customHeight="1">
      <c r="N762" s="13"/>
    </row>
    <row r="763" spans="14:14" ht="14.25" customHeight="1">
      <c r="N763" s="13"/>
    </row>
    <row r="764" spans="14:14" ht="14.25" customHeight="1">
      <c r="N764" s="13"/>
    </row>
    <row r="765" spans="14:14" ht="14.25" customHeight="1">
      <c r="N765" s="13"/>
    </row>
    <row r="766" spans="14:14" ht="14.25" customHeight="1">
      <c r="N766" s="13"/>
    </row>
    <row r="767" spans="14:14" ht="14.25" customHeight="1">
      <c r="N767" s="13"/>
    </row>
    <row r="768" spans="14:14" ht="14.25" customHeight="1">
      <c r="N768" s="13"/>
    </row>
    <row r="769" spans="14:14" ht="14.25" customHeight="1">
      <c r="N769" s="13"/>
    </row>
    <row r="770" spans="14:14" ht="14.25" customHeight="1">
      <c r="N770" s="13"/>
    </row>
    <row r="771" spans="14:14" ht="14.25" customHeight="1">
      <c r="N771" s="13"/>
    </row>
    <row r="772" spans="14:14" ht="14.25" customHeight="1">
      <c r="N772" s="13"/>
    </row>
    <row r="773" spans="14:14" ht="14.25" customHeight="1">
      <c r="N773" s="13"/>
    </row>
    <row r="774" spans="14:14" ht="14.25" customHeight="1">
      <c r="N774" s="13"/>
    </row>
    <row r="775" spans="14:14" ht="14.25" customHeight="1">
      <c r="N775" s="13"/>
    </row>
    <row r="776" spans="14:14" ht="14.25" customHeight="1">
      <c r="N776" s="13"/>
    </row>
    <row r="777" spans="14:14" ht="14.25" customHeight="1">
      <c r="N777" s="13"/>
    </row>
    <row r="778" spans="14:14" ht="14.25" customHeight="1">
      <c r="N778" s="13"/>
    </row>
    <row r="779" spans="14:14" ht="14.25" customHeight="1">
      <c r="N779" s="13"/>
    </row>
    <row r="780" spans="14:14" ht="14.25" customHeight="1">
      <c r="N780" s="13"/>
    </row>
    <row r="781" spans="14:14" ht="14.25" customHeight="1">
      <c r="N781" s="13"/>
    </row>
    <row r="782" spans="14:14" ht="14.25" customHeight="1">
      <c r="N782" s="13"/>
    </row>
    <row r="783" spans="14:14" ht="14.25" customHeight="1">
      <c r="N783" s="13"/>
    </row>
    <row r="784" spans="14:14" ht="14.25" customHeight="1">
      <c r="N784" s="13"/>
    </row>
    <row r="785" spans="14:14" ht="14.25" customHeight="1">
      <c r="N785" s="13"/>
    </row>
    <row r="786" spans="14:14" ht="14.25" customHeight="1">
      <c r="N786" s="13"/>
    </row>
    <row r="787" spans="14:14" ht="14.25" customHeight="1">
      <c r="N787" s="13"/>
    </row>
    <row r="788" spans="14:14" ht="14.25" customHeight="1">
      <c r="N788" s="13"/>
    </row>
    <row r="789" spans="14:14" ht="14.25" customHeight="1">
      <c r="N789" s="13"/>
    </row>
    <row r="790" spans="14:14" ht="14.25" customHeight="1">
      <c r="N790" s="13"/>
    </row>
    <row r="791" spans="14:14" ht="14.25" customHeight="1">
      <c r="N791" s="13"/>
    </row>
    <row r="792" spans="14:14" ht="14.25" customHeight="1">
      <c r="N792" s="13"/>
    </row>
    <row r="793" spans="14:14" ht="14.25" customHeight="1">
      <c r="N793" s="13"/>
    </row>
    <row r="794" spans="14:14" ht="14.25" customHeight="1">
      <c r="N794" s="13"/>
    </row>
    <row r="795" spans="14:14" ht="14.25" customHeight="1">
      <c r="N795" s="13"/>
    </row>
    <row r="796" spans="14:14" ht="14.25" customHeight="1">
      <c r="N796" s="13"/>
    </row>
    <row r="797" spans="14:14" ht="14.25" customHeight="1">
      <c r="N797" s="13"/>
    </row>
    <row r="798" spans="14:14" ht="14.25" customHeight="1">
      <c r="N798" s="13"/>
    </row>
    <row r="799" spans="14:14" ht="14.25" customHeight="1">
      <c r="N799" s="13"/>
    </row>
    <row r="800" spans="14:14" ht="14.25" customHeight="1">
      <c r="N800" s="13"/>
    </row>
    <row r="801" spans="14:14" ht="14.25" customHeight="1">
      <c r="N801" s="13"/>
    </row>
    <row r="802" spans="14:14" ht="14.25" customHeight="1">
      <c r="N802" s="13"/>
    </row>
    <row r="803" spans="14:14" ht="14.25" customHeight="1">
      <c r="N803" s="13"/>
    </row>
    <row r="804" spans="14:14" ht="14.25" customHeight="1">
      <c r="N804" s="13"/>
    </row>
    <row r="805" spans="14:14" ht="14.25" customHeight="1">
      <c r="N805" s="13"/>
    </row>
    <row r="806" spans="14:14" ht="14.25" customHeight="1">
      <c r="N806" s="13"/>
    </row>
    <row r="807" spans="14:14" ht="14.25" customHeight="1">
      <c r="N807" s="13"/>
    </row>
    <row r="808" spans="14:14" ht="14.25" customHeight="1">
      <c r="N808" s="13"/>
    </row>
    <row r="809" spans="14:14" ht="14.25" customHeight="1">
      <c r="N809" s="13"/>
    </row>
    <row r="810" spans="14:14" ht="14.25" customHeight="1">
      <c r="N810" s="13"/>
    </row>
    <row r="811" spans="14:14" ht="14.25" customHeight="1">
      <c r="N811" s="13"/>
    </row>
    <row r="812" spans="14:14" ht="14.25" customHeight="1">
      <c r="N812" s="13"/>
    </row>
    <row r="813" spans="14:14" ht="14.25" customHeight="1">
      <c r="N813" s="13"/>
    </row>
    <row r="814" spans="14:14" ht="14.25" customHeight="1">
      <c r="N814" s="13"/>
    </row>
    <row r="815" spans="14:14" ht="14.25" customHeight="1">
      <c r="N815" s="13"/>
    </row>
    <row r="816" spans="14:14" ht="14.25" customHeight="1">
      <c r="N816" s="13"/>
    </row>
    <row r="817" spans="14:14" ht="14.25" customHeight="1">
      <c r="N817" s="13"/>
    </row>
    <row r="818" spans="14:14" ht="14.25" customHeight="1">
      <c r="N818" s="13"/>
    </row>
    <row r="819" spans="14:14" ht="14.25" customHeight="1">
      <c r="N819" s="13"/>
    </row>
    <row r="820" spans="14:14" ht="14.25" customHeight="1">
      <c r="N820" s="13"/>
    </row>
    <row r="821" spans="14:14" ht="14.25" customHeight="1">
      <c r="N821" s="13"/>
    </row>
    <row r="822" spans="14:14" ht="14.25" customHeight="1">
      <c r="N822" s="13"/>
    </row>
    <row r="823" spans="14:14" ht="14.25" customHeight="1">
      <c r="N823" s="13"/>
    </row>
    <row r="824" spans="14:14" ht="14.25" customHeight="1">
      <c r="N824" s="13"/>
    </row>
    <row r="825" spans="14:14" ht="14.25" customHeight="1">
      <c r="N825" s="13"/>
    </row>
    <row r="826" spans="14:14" ht="14.25" customHeight="1">
      <c r="N826" s="13"/>
    </row>
    <row r="827" spans="14:14" ht="14.25" customHeight="1">
      <c r="N827" s="13"/>
    </row>
    <row r="828" spans="14:14" ht="14.25" customHeight="1">
      <c r="N828" s="13"/>
    </row>
    <row r="829" spans="14:14" ht="14.25" customHeight="1">
      <c r="N829" s="13"/>
    </row>
    <row r="830" spans="14:14" ht="14.25" customHeight="1">
      <c r="N830" s="13"/>
    </row>
    <row r="831" spans="14:14" ht="14.25" customHeight="1">
      <c r="N831" s="13"/>
    </row>
    <row r="832" spans="14:14" ht="14.25" customHeight="1">
      <c r="N832" s="13"/>
    </row>
    <row r="833" spans="14:14" ht="14.25" customHeight="1">
      <c r="N833" s="13"/>
    </row>
    <row r="834" spans="14:14" ht="14.25" customHeight="1">
      <c r="N834" s="13"/>
    </row>
    <row r="835" spans="14:14" ht="14.25" customHeight="1">
      <c r="N835" s="13"/>
    </row>
    <row r="836" spans="14:14" ht="14.25" customHeight="1">
      <c r="N836" s="13"/>
    </row>
    <row r="837" spans="14:14" ht="14.25" customHeight="1">
      <c r="N837" s="13"/>
    </row>
    <row r="838" spans="14:14" ht="14.25" customHeight="1">
      <c r="N838" s="13"/>
    </row>
    <row r="839" spans="14:14" ht="14.25" customHeight="1">
      <c r="N839" s="13"/>
    </row>
    <row r="840" spans="14:14" ht="14.25" customHeight="1">
      <c r="N840" s="13"/>
    </row>
    <row r="841" spans="14:14" ht="14.25" customHeight="1">
      <c r="N841" s="13"/>
    </row>
    <row r="842" spans="14:14" ht="14.25" customHeight="1">
      <c r="N842" s="13"/>
    </row>
    <row r="843" spans="14:14" ht="14.25" customHeight="1">
      <c r="N843" s="13"/>
    </row>
    <row r="844" spans="14:14" ht="14.25" customHeight="1">
      <c r="N844" s="13"/>
    </row>
    <row r="845" spans="14:14" ht="14.25" customHeight="1">
      <c r="N845" s="13"/>
    </row>
    <row r="846" spans="14:14" ht="14.25" customHeight="1">
      <c r="N846" s="13"/>
    </row>
    <row r="847" spans="14:14" ht="14.25" customHeight="1">
      <c r="N847" s="13"/>
    </row>
    <row r="848" spans="14:14" ht="14.25" customHeight="1">
      <c r="N848" s="13"/>
    </row>
    <row r="849" spans="14:14" ht="14.25" customHeight="1">
      <c r="N849" s="13"/>
    </row>
    <row r="850" spans="14:14" ht="14.25" customHeight="1">
      <c r="N850" s="13"/>
    </row>
    <row r="851" spans="14:14" ht="14.25" customHeight="1">
      <c r="N851" s="13"/>
    </row>
    <row r="852" spans="14:14" ht="14.25" customHeight="1">
      <c r="N852" s="13"/>
    </row>
    <row r="853" spans="14:14" ht="14.25" customHeight="1">
      <c r="N853" s="13"/>
    </row>
    <row r="854" spans="14:14" ht="14.25" customHeight="1">
      <c r="N854" s="13"/>
    </row>
    <row r="855" spans="14:14" ht="14.25" customHeight="1">
      <c r="N855" s="13"/>
    </row>
    <row r="856" spans="14:14" ht="14.25" customHeight="1">
      <c r="N856" s="13"/>
    </row>
    <row r="857" spans="14:14" ht="14.25" customHeight="1">
      <c r="N857" s="13"/>
    </row>
    <row r="858" spans="14:14" ht="14.25" customHeight="1">
      <c r="N858" s="13"/>
    </row>
    <row r="859" spans="14:14" ht="14.25" customHeight="1">
      <c r="N859" s="13"/>
    </row>
    <row r="860" spans="14:14" ht="14.25" customHeight="1">
      <c r="N860" s="13"/>
    </row>
    <row r="861" spans="14:14" ht="14.25" customHeight="1">
      <c r="N861" s="13"/>
    </row>
    <row r="862" spans="14:14" ht="14.25" customHeight="1">
      <c r="N862" s="13"/>
    </row>
    <row r="863" spans="14:14" ht="14.25" customHeight="1">
      <c r="N863" s="13"/>
    </row>
    <row r="864" spans="14:14" ht="14.25" customHeight="1">
      <c r="N864" s="13"/>
    </row>
    <row r="865" spans="14:14" ht="14.25" customHeight="1">
      <c r="N865" s="13"/>
    </row>
    <row r="866" spans="14:14" ht="14.25" customHeight="1">
      <c r="N866" s="13"/>
    </row>
    <row r="867" spans="14:14" ht="14.25" customHeight="1">
      <c r="N867" s="13"/>
    </row>
    <row r="868" spans="14:14" ht="14.25" customHeight="1">
      <c r="N868" s="13"/>
    </row>
    <row r="869" spans="14:14" ht="14.25" customHeight="1">
      <c r="N869" s="13"/>
    </row>
    <row r="870" spans="14:14" ht="14.25" customHeight="1">
      <c r="N870" s="13"/>
    </row>
    <row r="871" spans="14:14" ht="14.25" customHeight="1">
      <c r="N871" s="13"/>
    </row>
    <row r="872" spans="14:14" ht="14.25" customHeight="1">
      <c r="N872" s="13"/>
    </row>
    <row r="873" spans="14:14" ht="14.25" customHeight="1">
      <c r="N873" s="13"/>
    </row>
    <row r="874" spans="14:14" ht="14.25" customHeight="1">
      <c r="N874" s="13"/>
    </row>
    <row r="875" spans="14:14" ht="14.25" customHeight="1">
      <c r="N875" s="13"/>
    </row>
    <row r="876" spans="14:14" ht="14.25" customHeight="1">
      <c r="N876" s="13"/>
    </row>
    <row r="877" spans="14:14" ht="14.25" customHeight="1">
      <c r="N877" s="13"/>
    </row>
    <row r="878" spans="14:14" ht="14.25" customHeight="1">
      <c r="N878" s="13"/>
    </row>
    <row r="879" spans="14:14" ht="14.25" customHeight="1">
      <c r="N879" s="13"/>
    </row>
    <row r="880" spans="14:14" ht="14.25" customHeight="1">
      <c r="N880" s="13"/>
    </row>
    <row r="881" spans="14:14" ht="14.25" customHeight="1">
      <c r="N881" s="13"/>
    </row>
    <row r="882" spans="14:14" ht="14.25" customHeight="1">
      <c r="N882" s="13"/>
    </row>
    <row r="883" spans="14:14" ht="14.25" customHeight="1">
      <c r="N883" s="13"/>
    </row>
    <row r="884" spans="14:14" ht="14.25" customHeight="1">
      <c r="N884" s="13"/>
    </row>
    <row r="885" spans="14:14" ht="14.25" customHeight="1">
      <c r="N885" s="13"/>
    </row>
    <row r="886" spans="14:14" ht="14.25" customHeight="1">
      <c r="N886" s="13"/>
    </row>
    <row r="887" spans="14:14" ht="14.25" customHeight="1">
      <c r="N887" s="13"/>
    </row>
    <row r="888" spans="14:14" ht="14.25" customHeight="1">
      <c r="N888" s="13"/>
    </row>
    <row r="889" spans="14:14" ht="14.25" customHeight="1">
      <c r="N889" s="13"/>
    </row>
    <row r="890" spans="14:14" ht="14.25" customHeight="1">
      <c r="N890" s="13"/>
    </row>
    <row r="891" spans="14:14" ht="14.25" customHeight="1">
      <c r="N891" s="13"/>
    </row>
    <row r="892" spans="14:14" ht="14.25" customHeight="1">
      <c r="N892" s="13"/>
    </row>
    <row r="893" spans="14:14" ht="14.25" customHeight="1">
      <c r="N893" s="13"/>
    </row>
    <row r="894" spans="14:14" ht="14.25" customHeight="1">
      <c r="N894" s="13"/>
    </row>
    <row r="895" spans="14:14" ht="14.25" customHeight="1">
      <c r="N895" s="13"/>
    </row>
    <row r="896" spans="14:14" ht="14.25" customHeight="1">
      <c r="N896" s="13"/>
    </row>
    <row r="897" spans="14:14" ht="14.25" customHeight="1">
      <c r="N897" s="13"/>
    </row>
    <row r="898" spans="14:14" ht="14.25" customHeight="1">
      <c r="N898" s="13"/>
    </row>
    <row r="899" spans="14:14" ht="14.25" customHeight="1">
      <c r="N899" s="13"/>
    </row>
    <row r="900" spans="14:14" ht="14.25" customHeight="1">
      <c r="N900" s="13"/>
    </row>
    <row r="901" spans="14:14" ht="14.25" customHeight="1">
      <c r="N901" s="13"/>
    </row>
    <row r="902" spans="14:14" ht="14.25" customHeight="1">
      <c r="N902" s="13"/>
    </row>
    <row r="903" spans="14:14" ht="14.25" customHeight="1">
      <c r="N903" s="13"/>
    </row>
    <row r="904" spans="14:14" ht="14.25" customHeight="1">
      <c r="N904" s="13"/>
    </row>
    <row r="905" spans="14:14" ht="14.25" customHeight="1">
      <c r="N905" s="13"/>
    </row>
    <row r="906" spans="14:14" ht="14.25" customHeight="1">
      <c r="N906" s="13"/>
    </row>
    <row r="907" spans="14:14" ht="14.25" customHeight="1">
      <c r="N907" s="13"/>
    </row>
    <row r="908" spans="14:14" ht="14.25" customHeight="1">
      <c r="N908" s="13"/>
    </row>
    <row r="909" spans="14:14" ht="14.25" customHeight="1">
      <c r="N909" s="13"/>
    </row>
    <row r="910" spans="14:14" ht="14.25" customHeight="1">
      <c r="N910" s="13"/>
    </row>
    <row r="911" spans="14:14" ht="14.25" customHeight="1">
      <c r="N911" s="13"/>
    </row>
    <row r="912" spans="14:14" ht="14.25" customHeight="1">
      <c r="N912" s="13"/>
    </row>
    <row r="913" spans="14:14" ht="14.25" customHeight="1">
      <c r="N913" s="13"/>
    </row>
    <row r="914" spans="14:14" ht="14.25" customHeight="1">
      <c r="N914" s="13"/>
    </row>
    <row r="915" spans="14:14" ht="14.25" customHeight="1">
      <c r="N915" s="13"/>
    </row>
    <row r="916" spans="14:14" ht="14.25" customHeight="1">
      <c r="N916" s="13"/>
    </row>
    <row r="917" spans="14:14" ht="14.25" customHeight="1">
      <c r="N917" s="13"/>
    </row>
    <row r="918" spans="14:14" ht="14.25" customHeight="1">
      <c r="N918" s="13"/>
    </row>
    <row r="919" spans="14:14" ht="14.25" customHeight="1">
      <c r="N919" s="13"/>
    </row>
    <row r="920" spans="14:14" ht="14.25" customHeight="1">
      <c r="N920" s="13"/>
    </row>
    <row r="921" spans="14:14" ht="14.25" customHeight="1">
      <c r="N921" s="13"/>
    </row>
    <row r="922" spans="14:14" ht="14.25" customHeight="1">
      <c r="N922" s="13"/>
    </row>
    <row r="923" spans="14:14" ht="14.25" customHeight="1">
      <c r="N923" s="13"/>
    </row>
    <row r="924" spans="14:14" ht="14.25" customHeight="1">
      <c r="N924" s="13"/>
    </row>
    <row r="925" spans="14:14" ht="14.25" customHeight="1">
      <c r="N925" s="13"/>
    </row>
    <row r="926" spans="14:14" ht="14.25" customHeight="1">
      <c r="N926" s="13"/>
    </row>
    <row r="927" spans="14:14" ht="14.25" customHeight="1">
      <c r="N927" s="13"/>
    </row>
    <row r="928" spans="14:14" ht="14.25" customHeight="1">
      <c r="N928" s="13"/>
    </row>
    <row r="929" spans="14:14" ht="14.25" customHeight="1">
      <c r="N929" s="13"/>
    </row>
    <row r="930" spans="14:14" ht="14.25" customHeight="1">
      <c r="N930" s="13"/>
    </row>
    <row r="931" spans="14:14" ht="14.25" customHeight="1">
      <c r="N931" s="13"/>
    </row>
    <row r="932" spans="14:14" ht="14.25" customHeight="1">
      <c r="N932" s="13"/>
    </row>
    <row r="933" spans="14:14" ht="14.25" customHeight="1">
      <c r="N933" s="13"/>
    </row>
    <row r="934" spans="14:14" ht="14.25" customHeight="1">
      <c r="N934" s="13"/>
    </row>
    <row r="935" spans="14:14" ht="14.25" customHeight="1">
      <c r="N935" s="13"/>
    </row>
    <row r="936" spans="14:14" ht="14.25" customHeight="1">
      <c r="N936" s="13"/>
    </row>
    <row r="937" spans="14:14" ht="14.25" customHeight="1">
      <c r="N937" s="13"/>
    </row>
    <row r="938" spans="14:14" ht="14.25" customHeight="1">
      <c r="N938" s="13"/>
    </row>
    <row r="939" spans="14:14" ht="14.25" customHeight="1">
      <c r="N939" s="13"/>
    </row>
    <row r="940" spans="14:14" ht="14.25" customHeight="1">
      <c r="N940" s="13"/>
    </row>
    <row r="941" spans="14:14" ht="14.25" customHeight="1">
      <c r="N941" s="13"/>
    </row>
    <row r="942" spans="14:14" ht="14.25" customHeight="1">
      <c r="N942" s="13"/>
    </row>
    <row r="943" spans="14:14" ht="14.25" customHeight="1">
      <c r="N943" s="13"/>
    </row>
    <row r="944" spans="14:14" ht="14.25" customHeight="1">
      <c r="N944" s="13"/>
    </row>
    <row r="945" spans="14:14" ht="14.25" customHeight="1">
      <c r="N945" s="13"/>
    </row>
    <row r="946" spans="14:14" ht="14.25" customHeight="1">
      <c r="N946" s="13"/>
    </row>
    <row r="947" spans="14:14" ht="14.25" customHeight="1">
      <c r="N947" s="13"/>
    </row>
    <row r="948" spans="14:14" ht="14.25" customHeight="1">
      <c r="N948" s="13"/>
    </row>
    <row r="949" spans="14:14" ht="14.25" customHeight="1">
      <c r="N949" s="13"/>
    </row>
    <row r="950" spans="14:14" ht="14.25" customHeight="1">
      <c r="N950" s="13"/>
    </row>
    <row r="951" spans="14:14" ht="14.25" customHeight="1">
      <c r="N951" s="13"/>
    </row>
    <row r="952" spans="14:14" ht="14.25" customHeight="1">
      <c r="N952" s="13"/>
    </row>
    <row r="953" spans="14:14" ht="14.25" customHeight="1">
      <c r="N953" s="13"/>
    </row>
    <row r="954" spans="14:14" ht="14.25" customHeight="1">
      <c r="N954" s="13"/>
    </row>
    <row r="955" spans="14:14" ht="14.25" customHeight="1">
      <c r="N955" s="13"/>
    </row>
    <row r="956" spans="14:14" ht="14.25" customHeight="1">
      <c r="N956" s="13"/>
    </row>
    <row r="957" spans="14:14" ht="14.25" customHeight="1">
      <c r="N957" s="13"/>
    </row>
    <row r="958" spans="14:14" ht="14.25" customHeight="1">
      <c r="N958" s="13"/>
    </row>
    <row r="959" spans="14:14" ht="14.25" customHeight="1">
      <c r="N959" s="13"/>
    </row>
    <row r="960" spans="14:14" ht="14.25" customHeight="1">
      <c r="N960" s="13"/>
    </row>
    <row r="961" spans="14:14" ht="14.25" customHeight="1">
      <c r="N961" s="13"/>
    </row>
    <row r="962" spans="14:14" ht="14.25" customHeight="1">
      <c r="N962" s="13"/>
    </row>
    <row r="963" spans="14:14" ht="14.25" customHeight="1">
      <c r="N963" s="13"/>
    </row>
    <row r="964" spans="14:14" ht="14.25" customHeight="1">
      <c r="N964" s="13"/>
    </row>
    <row r="965" spans="14:14" ht="14.25" customHeight="1">
      <c r="N965" s="13"/>
    </row>
    <row r="966" spans="14:14" ht="14.25" customHeight="1">
      <c r="N966" s="13"/>
    </row>
    <row r="967" spans="14:14" ht="14.25" customHeight="1">
      <c r="N967" s="13"/>
    </row>
    <row r="968" spans="14:14" ht="14.25" customHeight="1">
      <c r="N968" s="13"/>
    </row>
    <row r="969" spans="14:14" ht="14.25" customHeight="1">
      <c r="N969" s="13"/>
    </row>
    <row r="970" spans="14:14" ht="14.25" customHeight="1">
      <c r="N970" s="13"/>
    </row>
    <row r="971" spans="14:14" ht="14.25" customHeight="1">
      <c r="N971" s="13"/>
    </row>
    <row r="972" spans="14:14" ht="14.25" customHeight="1">
      <c r="N972" s="13"/>
    </row>
    <row r="973" spans="14:14" ht="14.25" customHeight="1">
      <c r="N973" s="13"/>
    </row>
    <row r="974" spans="14:14" ht="14.25" customHeight="1">
      <c r="N974" s="13"/>
    </row>
    <row r="975" spans="14:14" ht="14.25" customHeight="1">
      <c r="N975" s="13"/>
    </row>
    <row r="976" spans="14:14" ht="14.25" customHeight="1">
      <c r="N976" s="13"/>
    </row>
    <row r="977" spans="14:14" ht="14.25" customHeight="1">
      <c r="N977" s="13"/>
    </row>
    <row r="978" spans="14:14" ht="14.25" customHeight="1">
      <c r="N978" s="13"/>
    </row>
    <row r="979" spans="14:14" ht="14.25" customHeight="1">
      <c r="N979" s="13"/>
    </row>
    <row r="980" spans="14:14" ht="14.25" customHeight="1">
      <c r="N980" s="13"/>
    </row>
    <row r="981" spans="14:14" ht="14.25" customHeight="1">
      <c r="N981" s="13"/>
    </row>
    <row r="982" spans="14:14" ht="14.25" customHeight="1">
      <c r="N982" s="13"/>
    </row>
    <row r="983" spans="14:14" ht="14.25" customHeight="1">
      <c r="N983" s="13"/>
    </row>
    <row r="984" spans="14:14" ht="14.25" customHeight="1">
      <c r="N984" s="13"/>
    </row>
    <row r="985" spans="14:14" ht="14.25" customHeight="1">
      <c r="N985" s="13"/>
    </row>
    <row r="986" spans="14:14" ht="14.25" customHeight="1">
      <c r="N986" s="13"/>
    </row>
    <row r="987" spans="14:14" ht="14.25" customHeight="1">
      <c r="N987" s="13"/>
    </row>
    <row r="988" spans="14:14" ht="14.25" customHeight="1">
      <c r="N988" s="13"/>
    </row>
    <row r="989" spans="14:14" ht="14.25" customHeight="1">
      <c r="N989" s="13"/>
    </row>
    <row r="990" spans="14:14" ht="14.25" customHeight="1">
      <c r="N990" s="13"/>
    </row>
    <row r="991" spans="14:14" ht="14.25" customHeight="1">
      <c r="N991" s="13"/>
    </row>
    <row r="992" spans="14:14" ht="14.25" customHeight="1">
      <c r="N992" s="13"/>
    </row>
    <row r="993" spans="14:14" ht="14.25" customHeight="1">
      <c r="N993" s="13"/>
    </row>
    <row r="994" spans="14:14" ht="14.25" customHeight="1">
      <c r="N994" s="13"/>
    </row>
    <row r="995" spans="14:14" ht="14.25" customHeight="1">
      <c r="N995" s="13"/>
    </row>
    <row r="996" spans="14:14" ht="14.25" customHeight="1">
      <c r="N996" s="13"/>
    </row>
    <row r="997" spans="14:14" ht="14.25" customHeight="1">
      <c r="N997" s="13"/>
    </row>
    <row r="998" spans="14:14" ht="14.25" customHeight="1">
      <c r="N998" s="13"/>
    </row>
    <row r="999" spans="14:14" ht="14.25" customHeight="1">
      <c r="N999" s="13"/>
    </row>
    <row r="1000" spans="14:14" ht="14.25" customHeight="1">
      <c r="N1000" s="13"/>
    </row>
  </sheetData>
  <customSheetViews>
    <customSheetView guid="{3C744F15-3FD2-47BD-B0C2-5ADC8D3AD4B3}" filter="1" showAutoFilter="1" topLeftCell="A1">
      <pageMargins left="0.75" right="0.75" top="1" bottom="1" header="0.5" footer="0.5"/>
      <autoFilter ref="A1:R30"/>
    </customSheetView>
  </customSheetViews>
  <hyperlinks>
    <hyperlink ref="Q28" r:id="rId1" display="https://static.chipdip.ru/lib/153/DOC004153919.pdf"/>
    <hyperlink ref="Q29" r:id="rId2" display="https://static.chipdip.ru/lib/153/DOC004153919.pdf"/>
    <hyperlink ref="Q30" r:id="rId3" display="https://www.chipdip.ru/product/blm18ag102sn1d-1-kom-0.4a-0603-drossel-podavleniya-murata-9000029220"/>
  </hyperlinks>
  <pageMargins left="0.7" right="0.7" top="0.75" bottom="0.75" header="0" footer="0"/>
  <pageSetup orientation="portrait" paperSize="9"/>
  <tableParts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B00-000000000000}">
  <dimension ref="A1:Q22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14" customWidth="1"/>
    <col min="2" max="2" width="22.4285714285714" customWidth="1"/>
    <col min="3" max="3" width="11" customWidth="1"/>
    <col min="4" max="4" width="34.2857142857143" customWidth="1"/>
    <col min="5" max="5" width="20.5714285714286" customWidth="1"/>
    <col min="6" max="6" width="21.7142857142857" customWidth="1"/>
    <col min="7" max="7" width="17.7142857142857" customWidth="1"/>
    <col min="8" max="8" width="22.7142857142857" customWidth="1"/>
    <col min="9" max="9" width="18.4285714285714" customWidth="1"/>
    <col min="10" max="10" width="16.7142857142857" customWidth="1"/>
    <col min="11" max="11" width="12.4285714285714" customWidth="1"/>
    <col min="12" max="12" width="13.2857142857143" customWidth="1"/>
    <col min="13" max="26" width="8.71428571428571" customWidth="1"/>
  </cols>
  <sheetData>
    <row r="1" spans="1:17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14</v>
      </c>
      <c r="L1" s="1" t="s">
        <v>11</v>
      </c>
      <c r="M1" s="53" t="s">
        <v>13</v>
      </c>
      <c r="N1" s="55"/>
      <c r="O1" s="3"/>
      <c r="P1" s="3"/>
      <c r="Q1" s="3"/>
    </row>
    <row r="2" spans="1:16" ht="14.25" customHeight="1">
      <c r="A2" s="56" t="s">
        <v>902</v>
      </c>
      <c r="B2" s="57" t="s">
        <v>904</v>
      </c>
      <c r="C2" s="33" t="str">
        <f>A2</f>
        <v>TS820-600B-TR</v>
      </c>
      <c r="D2" s="57" t="s">
        <v>910</v>
      </c>
      <c r="E2" s="57" t="s">
        <v>911</v>
      </c>
      <c r="F2" s="33" t="str">
        <f>CONCATENATE("Footprints\",G2,".PcbLib")</f>
        <v>Footprints\DPAK.PcbLib</v>
      </c>
      <c r="G2" s="57" t="s">
        <v>179</v>
      </c>
      <c r="H2" s="33"/>
      <c r="I2" s="33"/>
      <c r="J2" s="33" t="s">
        <v>919</v>
      </c>
      <c r="K2" s="34" t="s">
        <v>106</v>
      </c>
      <c r="L2" s="34"/>
      <c r="M2" s="4" t="s">
        <v>45</v>
      </c>
      <c r="N2" s="13"/>
      <c r="O2" s="11"/>
      <c r="P2" s="11"/>
    </row>
    <row r="3" spans="1:16" ht="14.25" customHeight="1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3"/>
      <c r="O3" s="11"/>
      <c r="P3" s="11"/>
    </row>
    <row r="4" spans="1:16" ht="14.25" customHeight="1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3"/>
      <c r="O4" s="11"/>
      <c r="P4" s="11"/>
    </row>
    <row r="5" spans="4:15" ht="14.25" customHeight="1">
      <c r="D5" s="11"/>
      <c r="E5" s="11"/>
      <c r="F5" s="11"/>
      <c r="G5" s="11"/>
      <c r="H5" s="11"/>
      <c r="I5" s="11"/>
      <c r="J5" s="11"/>
      <c r="K5" s="11"/>
      <c r="L5" s="11"/>
      <c r="M5" s="11"/>
      <c r="N5" s="13"/>
      <c r="O5" s="11"/>
    </row>
    <row r="6" spans="4:15" ht="14.25" customHeight="1">
      <c r="D6" s="11"/>
      <c r="E6" s="11"/>
      <c r="F6" s="11"/>
      <c r="G6" s="11"/>
      <c r="H6" s="11"/>
      <c r="I6" s="11"/>
      <c r="J6" s="11"/>
      <c r="K6" s="11"/>
      <c r="L6" s="11"/>
      <c r="M6" s="11"/>
      <c r="N6" s="13"/>
      <c r="O6" s="11"/>
    </row>
    <row r="7" spans="4:15" ht="14.25" customHeight="1">
      <c r="D7" s="11"/>
      <c r="E7" s="11"/>
      <c r="F7" s="11"/>
      <c r="G7" s="11"/>
      <c r="H7" s="11"/>
      <c r="I7" s="11"/>
      <c r="J7" s="11"/>
      <c r="K7" s="11"/>
      <c r="L7" s="11"/>
      <c r="M7" s="11"/>
      <c r="N7" s="13"/>
      <c r="O7" s="11"/>
    </row>
    <row r="8" spans="4:15" ht="14.25" customHeight="1">
      <c r="D8" s="11"/>
      <c r="E8" s="11"/>
      <c r="F8" s="11"/>
      <c r="G8" s="11"/>
      <c r="H8" s="11"/>
      <c r="I8" s="11"/>
      <c r="J8" s="11"/>
      <c r="K8" s="11"/>
      <c r="L8" s="11"/>
      <c r="M8" s="11"/>
      <c r="N8" s="13"/>
      <c r="O8" s="11"/>
    </row>
    <row r="9" spans="2:16" ht="14.25" customHeight="1">
      <c r="B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3"/>
      <c r="O9" s="11"/>
      <c r="P9" s="11"/>
    </row>
    <row r="10" spans="2:16" ht="14.25" customHeight="1">
      <c r="B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3"/>
      <c r="P10" s="11"/>
    </row>
    <row r="11" spans="4:14" ht="14.25" customHeight="1"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3"/>
    </row>
    <row r="12" spans="4:16" ht="14.25" customHeight="1"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3"/>
      <c r="P12" s="11"/>
    </row>
    <row r="13" spans="4:16" ht="14.25" customHeight="1"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3"/>
      <c r="P13" s="11"/>
    </row>
    <row r="14" spans="4:14" ht="14.25" customHeight="1"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3"/>
    </row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spans="14:14" ht="14.25" customHeight="1">
      <c r="N22" s="13"/>
    </row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B9F88035-E9CE-42C4-8D6E-2468EFFC629E}" filter="1" showAutoFilter="1" topLeftCell="A1">
      <pageMargins left="0.75" right="0.75" top="1" bottom="1" header="0.5" footer="0.5"/>
      <autoFilter ref="A1:M2"/>
    </customSheetView>
  </customSheetViews>
  <pageMargins left="0.7" right="0.7" top="0.75" bottom="0.75" header="0" footer="0"/>
  <pageSetup orientation="landscape" paperSize="1"/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C00-000000000000}">
  <dimension ref="A1:T28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14.7142857142857" customWidth="1"/>
    <col min="2" max="2" width="120" customWidth="1"/>
    <col min="3" max="3" width="20" customWidth="1"/>
    <col min="4" max="4" width="35.2857142857143" customWidth="1"/>
    <col min="5" max="5" width="14.4285714285714" customWidth="1"/>
    <col min="6" max="6" width="36.7142857142857" customWidth="1"/>
    <col min="7" max="7" width="16.7142857142857" customWidth="1"/>
    <col min="8" max="8" width="20.7142857142857" customWidth="1"/>
    <col min="9" max="9" width="16.7142857142857" customWidth="1"/>
    <col min="10" max="10" width="31.2857142857143" customWidth="1"/>
    <col min="11" max="11" width="17.4285714285714" customWidth="1"/>
    <col min="12" max="12" width="22.4285714285714" customWidth="1"/>
    <col min="13" max="13" width="17.8571428571429" customWidth="1"/>
    <col min="14" max="14" width="8.71428571428571" customWidth="1"/>
    <col min="15" max="15" width="11.7142857142857" customWidth="1"/>
    <col min="16" max="26" width="8.71428571428571" customWidth="1"/>
  </cols>
  <sheetData>
    <row r="1" spans="1:20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487</v>
      </c>
      <c r="M1" s="1" t="s">
        <v>489</v>
      </c>
      <c r="N1" s="1" t="s">
        <v>16</v>
      </c>
      <c r="O1" s="1" t="s">
        <v>11</v>
      </c>
      <c r="P1" s="53" t="s">
        <v>13</v>
      </c>
      <c r="Q1" s="3"/>
      <c r="R1" s="3"/>
      <c r="S1" s="3"/>
      <c r="T1" s="3"/>
    </row>
    <row r="2" spans="1:12" ht="14.25" customHeight="1">
      <c r="A2" s="4" t="s">
        <v>1029</v>
      </c>
      <c r="B2" s="4" t="s">
        <v>1031</v>
      </c>
      <c r="C2" s="4" t="str">
        <f t="shared" si="0" ref="C2:C12">A2</f>
        <v>Tact_button</v>
      </c>
      <c r="D2" s="4" t="str">
        <f t="shared" si="1" ref="D2:D6">CONCATENATE("Schematic\",A2,".SchLib")</f>
        <v>Schematic\Tact_button.SchLib</v>
      </c>
      <c r="E2" s="4" t="str">
        <f t="shared" si="2" ref="E2:E6">A2</f>
        <v>Tact_button</v>
      </c>
      <c r="F2" s="4" t="str">
        <f>CONCATENATE("Footprints\Buttons\",G2,".PcbLib")</f>
        <v>Footprints\Buttons\Button_SMD_10mm.PcbLib</v>
      </c>
      <c r="G2" s="4" t="s">
        <v>1038</v>
      </c>
      <c r="H2" s="4" t="str">
        <f>CONCATENATE("Footprints\Buttons\",I2,".PcbLib")</f>
        <v>Footprints\Buttons\Button_SMD_6x6.PcbLib</v>
      </c>
      <c r="I2" s="4" t="s">
        <v>1043</v>
      </c>
      <c r="J2" s="4" t="str">
        <f>CONCATENATE("Footprints\Buttons\",K2,".PcbLib")</f>
        <v>Footprints\Buttons\Button_tht_6X6.PcbLib</v>
      </c>
      <c r="K2" s="4" t="s">
        <v>1045</v>
      </c>
      <c r="L2" s="4" t="str">
        <f t="shared" si="3" ref="L2:L28">CONCATENATE("Footprints\",M2,".PcbLib")</f>
        <v>Footprints\.PcbLib</v>
      </c>
    </row>
    <row r="3" spans="1:12" ht="14.25" customHeight="1">
      <c r="A3" s="4" t="s">
        <v>1051</v>
      </c>
      <c r="B3" s="4" t="s">
        <v>1052</v>
      </c>
      <c r="C3" s="4" t="str">
        <f t="shared" si="0"/>
        <v>LED</v>
      </c>
      <c r="D3" s="4" t="str">
        <f t="shared" si="1"/>
        <v>Schematic\LED.SchLib</v>
      </c>
      <c r="E3" s="4" t="str">
        <f t="shared" si="2"/>
        <v>LED</v>
      </c>
      <c r="F3" s="4" t="str">
        <f>CONCATENATE("Footprints\",G3,".PcbLib")</f>
        <v>Footprints\0805D.PcbLib</v>
      </c>
      <c r="G3" s="4" t="s">
        <v>1060</v>
      </c>
      <c r="H3" s="4" t="s">
        <v>1061</v>
      </c>
      <c r="I3" s="4" t="s">
        <v>1062</v>
      </c>
      <c r="J3" s="4"/>
      <c r="K3" s="4"/>
      <c r="L3" s="4" t="str">
        <f t="shared" si="3"/>
        <v>Footprints\.PcbLib</v>
      </c>
    </row>
    <row r="4" spans="1:12" ht="14.25" customHeight="1">
      <c r="A4" s="4" t="s">
        <v>1069</v>
      </c>
      <c r="B4" s="4" t="s">
        <v>1070</v>
      </c>
      <c r="C4" s="4" t="str">
        <f t="shared" si="0"/>
        <v>XTAL</v>
      </c>
      <c r="D4" s="4" t="str">
        <f t="shared" si="1"/>
        <v>Schematic\XTAL.SchLib</v>
      </c>
      <c r="E4" s="4" t="str">
        <f t="shared" si="2"/>
        <v>XTAL</v>
      </c>
      <c r="F4" s="4" t="str">
        <f>CONCATENATE("Footprints\XTAL\",G4,".PcbLib")</f>
        <v>Footprints\XTAL\HC49SD.PcbLib</v>
      </c>
      <c r="G4" s="4" t="s">
        <v>1075</v>
      </c>
      <c r="H4" s="4"/>
      <c r="I4" s="4"/>
      <c r="J4" s="4"/>
      <c r="K4" s="4"/>
      <c r="L4" s="4" t="str">
        <f t="shared" si="3"/>
        <v>Footprints\.PcbLib</v>
      </c>
    </row>
    <row r="5" spans="1:12" ht="14.25" customHeight="1">
      <c r="A5" s="4" t="s">
        <v>1080</v>
      </c>
      <c r="B5" s="4" t="s">
        <v>1082</v>
      </c>
      <c r="C5" s="4" t="str">
        <f t="shared" si="0"/>
        <v>XTAL_GND</v>
      </c>
      <c r="D5" s="4" t="str">
        <f t="shared" si="1"/>
        <v>Schematic\XTAL_GND.SchLib</v>
      </c>
      <c r="E5" s="4" t="str">
        <f t="shared" si="2"/>
        <v>XTAL_GND</v>
      </c>
      <c r="F5" s="4" t="s">
        <v>1085</v>
      </c>
      <c r="G5" s="4" t="s">
        <v>1086</v>
      </c>
      <c r="H5" s="4"/>
      <c r="I5" s="4"/>
      <c r="J5" s="4"/>
      <c r="K5" s="4"/>
      <c r="L5" s="4" t="str">
        <f t="shared" si="3"/>
        <v>Footprints\.PcbLib</v>
      </c>
    </row>
    <row r="6" spans="1:16" ht="14.25" customHeight="1">
      <c r="A6" s="4" t="s">
        <v>1089</v>
      </c>
      <c r="B6" s="4" t="s">
        <v>1090</v>
      </c>
      <c r="C6" s="4" t="str">
        <f t="shared" si="0"/>
        <v>SB</v>
      </c>
      <c r="D6" s="4" t="str">
        <f t="shared" si="1"/>
        <v>Schematic\SB.SchLib</v>
      </c>
      <c r="E6" s="4" t="str">
        <f t="shared" si="2"/>
        <v>SB</v>
      </c>
      <c r="F6" s="4" t="str">
        <f t="shared" si="4" ref="F6:F12">CONCATENATE("Footprints\",G6,".PcbLib")</f>
        <v>Footprints\0805SB.PcbLib</v>
      </c>
      <c r="G6" s="4" t="s">
        <v>1097</v>
      </c>
      <c r="H6" s="4" t="str">
        <f>CONCATENATE("Footprints\",I6,".PcbLib")</f>
        <v>Footprints\1206SB.PcbLib</v>
      </c>
      <c r="I6" s="4" t="s">
        <v>1099</v>
      </c>
      <c r="J6" s="4" t="str">
        <f>CONCATENATE("Footprints\",K6,".PcbLib")</f>
        <v>Footprints\0805SB_wide_gap.PcbLib</v>
      </c>
      <c r="K6" s="4" t="s">
        <v>1102</v>
      </c>
      <c r="L6" s="4" t="str">
        <f t="shared" si="3"/>
        <v>Footprints\0603SB.PcbLib</v>
      </c>
      <c r="M6" s="4" t="s">
        <v>1104</v>
      </c>
      <c r="P6" s="6" t="s">
        <v>45</v>
      </c>
    </row>
    <row r="7" spans="1:16" ht="14.25" customHeight="1">
      <c r="A7" s="4" t="s">
        <v>1106</v>
      </c>
      <c r="B7" s="4" t="s">
        <v>1108</v>
      </c>
      <c r="C7" s="4" t="str">
        <f t="shared" si="0"/>
        <v>CBM432AST23</v>
      </c>
      <c r="D7" s="4" t="str">
        <f>CONCATENATE("Schematic\precision_shunt_regulator",".SchLib")</f>
        <v>Schematic\precision_shunt_regulator.SchLib</v>
      </c>
      <c r="E7" s="4" t="s">
        <v>1112</v>
      </c>
      <c r="F7" s="4" t="str">
        <f t="shared" si="4"/>
        <v>Footprints\SOT23-3.PcbLib</v>
      </c>
      <c r="G7" s="4" t="s">
        <v>56</v>
      </c>
      <c r="H7" s="4"/>
      <c r="I7" s="4"/>
      <c r="J7" s="4"/>
      <c r="K7" s="4"/>
      <c r="L7" s="4" t="str">
        <f t="shared" si="3"/>
        <v>Footprints\.PcbLib</v>
      </c>
      <c r="P7" s="6" t="s">
        <v>45</v>
      </c>
    </row>
    <row r="8" spans="1:16" ht="14.25" customHeight="1">
      <c r="A8" s="4" t="s">
        <v>1118</v>
      </c>
      <c r="B8" s="4" t="s">
        <v>1119</v>
      </c>
      <c r="C8" s="4" t="str">
        <f t="shared" si="0"/>
        <v>UMW TL431 0.5%</v>
      </c>
      <c r="D8" s="4" t="str">
        <f>CONCATENATE("Schematic\",Other!$E8,".SchLib")</f>
        <v>Schematic\precision_shunt_regulator.SchLib</v>
      </c>
      <c r="E8" s="4" t="s">
        <v>1112</v>
      </c>
      <c r="F8" s="4" t="str">
        <f t="shared" si="4"/>
        <v>Footprints\SOT23-3.PcbLib</v>
      </c>
      <c r="G8" s="4" t="s">
        <v>56</v>
      </c>
      <c r="H8" s="4"/>
      <c r="I8" s="4"/>
      <c r="J8" s="4"/>
      <c r="K8" s="4"/>
      <c r="L8" s="4" t="str">
        <f t="shared" si="3"/>
        <v>Footprints\.PcbLib</v>
      </c>
      <c r="P8" s="6" t="s">
        <v>45</v>
      </c>
    </row>
    <row r="9" spans="1:16" ht="14.25" customHeight="1">
      <c r="A9" s="4" t="s">
        <v>1124</v>
      </c>
      <c r="B9" s="4" t="s">
        <v>1126</v>
      </c>
      <c r="C9" s="4" t="str">
        <f t="shared" si="0"/>
        <v>Fuse 20x5 on clips FC-M</v>
      </c>
      <c r="D9" s="4" t="str">
        <f>CONCATENATE("Schematic\",Other!$E9,".SchLib")</f>
        <v>Schematic\fuse.SchLib</v>
      </c>
      <c r="E9" s="4" t="s">
        <v>1128</v>
      </c>
      <c r="F9" s="4" t="str">
        <f t="shared" si="4"/>
        <v>Footprints\fuse_20x5_on_clips_FC-M.PcbLib</v>
      </c>
      <c r="G9" s="4" t="s">
        <v>1129</v>
      </c>
      <c r="H9" s="4"/>
      <c r="I9" s="4"/>
      <c r="J9" s="4"/>
      <c r="K9" s="4"/>
      <c r="L9" s="4" t="str">
        <f t="shared" si="3"/>
        <v>Footprints\.PcbLib</v>
      </c>
      <c r="P9" s="6" t="s">
        <v>45</v>
      </c>
    </row>
    <row r="10" spans="1:16" ht="14.25" customHeight="1">
      <c r="A10" s="4" t="s">
        <v>1132</v>
      </c>
      <c r="B10" s="4" t="s">
        <v>1133</v>
      </c>
      <c r="C10" s="4" t="str">
        <f t="shared" si="0"/>
        <v>DHT22</v>
      </c>
      <c r="D10" s="4" t="str">
        <f t="shared" si="5" ref="D10:D11">CONCATENATE("Schematic\",A10,".SchLib")</f>
        <v>Schematic\DHT22.SchLib</v>
      </c>
      <c r="E10" s="4" t="str">
        <f t="shared" si="6" ref="E10:E11">A10</f>
        <v>DHT22</v>
      </c>
      <c r="F10" s="4" t="str">
        <f t="shared" si="4"/>
        <v>Footprints\DHT22.PcbLib</v>
      </c>
      <c r="G10" s="4" t="s">
        <v>1132</v>
      </c>
      <c r="H10" s="4"/>
      <c r="I10" s="4"/>
      <c r="J10" s="4"/>
      <c r="K10" s="4"/>
      <c r="L10" s="4" t="str">
        <f t="shared" si="3"/>
        <v>Footprints\.PcbLib</v>
      </c>
      <c r="P10" s="6" t="s">
        <v>45</v>
      </c>
    </row>
    <row r="11" spans="1:16" ht="14.25" customHeight="1">
      <c r="A11" s="4" t="s">
        <v>1137</v>
      </c>
      <c r="B11" s="4" t="s">
        <v>1138</v>
      </c>
      <c r="C11" s="4" t="str">
        <f t="shared" si="0"/>
        <v>cooler4040</v>
      </c>
      <c r="D11" s="4" t="str">
        <f t="shared" si="5"/>
        <v>Schematic\cooler4040.SchLib</v>
      </c>
      <c r="E11" s="4" t="str">
        <f t="shared" si="6"/>
        <v>cooler4040</v>
      </c>
      <c r="F11" s="4" t="str">
        <f t="shared" si="4"/>
        <v>Footprints\cooler4040.PcbLib</v>
      </c>
      <c r="G11" s="4" t="s">
        <v>1137</v>
      </c>
      <c r="H11" s="4"/>
      <c r="I11" s="4"/>
      <c r="J11" s="4"/>
      <c r="K11" s="4"/>
      <c r="L11" s="4" t="str">
        <f t="shared" si="3"/>
        <v>Footprints\.PcbLib</v>
      </c>
      <c r="P11" s="6" t="s">
        <v>45</v>
      </c>
    </row>
    <row r="12" spans="1:16" ht="14.25" customHeight="1">
      <c r="A12" s="4" t="s">
        <v>1142</v>
      </c>
      <c r="B12" s="4" t="s">
        <v>1143</v>
      </c>
      <c r="C12" s="4" t="str">
        <f t="shared" si="0"/>
        <v>cooler3030</v>
      </c>
      <c r="D12" s="4" t="str">
        <f>CONCATENATE("Schematic\","cooler4040.SchLib")</f>
        <v>Schematic\cooler4040.SchLib</v>
      </c>
      <c r="E12" s="4" t="s">
        <v>1137</v>
      </c>
      <c r="F12" s="4" t="str">
        <f t="shared" si="4"/>
        <v>Footprints\cooler3030.PcbLib</v>
      </c>
      <c r="G12" s="4" t="s">
        <v>1142</v>
      </c>
      <c r="H12" s="4"/>
      <c r="I12" s="4"/>
      <c r="J12" s="4"/>
      <c r="K12" s="4"/>
      <c r="L12" s="4" t="str">
        <f t="shared" si="3"/>
        <v>Footprints\.PcbLib</v>
      </c>
      <c r="P12" s="6" t="s">
        <v>45</v>
      </c>
    </row>
    <row r="13" spans="1:16" ht="14.25" customHeight="1">
      <c r="A13" s="4" t="s">
        <v>1147</v>
      </c>
      <c r="B13" s="4" t="s">
        <v>1148</v>
      </c>
      <c r="C13" s="4" t="s">
        <v>1149</v>
      </c>
      <c r="D13" s="6" t="s">
        <v>1151</v>
      </c>
      <c r="E13" s="4" t="s">
        <v>1152</v>
      </c>
      <c r="F13" s="4" t="s">
        <v>1153</v>
      </c>
      <c r="G13" s="4" t="s">
        <v>1154</v>
      </c>
      <c r="H13" s="4"/>
      <c r="I13" s="4"/>
      <c r="J13" s="4"/>
      <c r="K13" s="4"/>
      <c r="L13" s="4" t="str">
        <f t="shared" si="3"/>
        <v>Footprints\.PcbLib</v>
      </c>
      <c r="O13" s="14" t="s">
        <v>1160</v>
      </c>
      <c r="P13" s="6" t="s">
        <v>45</v>
      </c>
    </row>
    <row r="14" spans="1:16" ht="14.25" customHeight="1">
      <c r="A14" s="6" t="s">
        <v>1176</v>
      </c>
      <c r="B14" s="6" t="s">
        <v>1178</v>
      </c>
      <c r="C14" s="6" t="s">
        <v>1181</v>
      </c>
      <c r="D14" s="6" t="s">
        <v>1151</v>
      </c>
      <c r="E14" s="4" t="s">
        <v>1152</v>
      </c>
      <c r="F14" s="4" t="str">
        <f t="shared" si="7" ref="F14:F15">CONCATENATE("Footprints\",G14,".PcbLib")</f>
        <v>Footprints\spacer_m2.5_h16.PcbLib</v>
      </c>
      <c r="G14" s="6" t="s">
        <v>1176</v>
      </c>
      <c r="J14" s="6" t="str">
        <f t="shared" si="8" ref="J14:J18">CONCATENATE("Footprints\",K14,".PcbLib")</f>
        <v>Footprints\.PcbLib</v>
      </c>
      <c r="L14" s="4" t="str">
        <f t="shared" si="3"/>
        <v>Footprints\.PcbLib</v>
      </c>
      <c r="P14" s="6" t="s">
        <v>45</v>
      </c>
    </row>
    <row r="15" spans="1:16" ht="14.25" customHeight="1">
      <c r="A15" s="6" t="s">
        <v>1194</v>
      </c>
      <c r="B15" s="6" t="s">
        <v>1198</v>
      </c>
      <c r="C15" s="6" t="str">
        <f>A15</f>
        <v>CR2032-VAY3-15.2</v>
      </c>
      <c r="D15" s="6" t="s">
        <v>1201</v>
      </c>
      <c r="E15" s="6" t="s">
        <v>1202</v>
      </c>
      <c r="F15" s="4" t="str">
        <f t="shared" si="7"/>
        <v>Footprints\CR2032-VAY3-15.2.PcbLib</v>
      </c>
      <c r="G15" s="6" t="s">
        <v>1194</v>
      </c>
      <c r="J15" s="6" t="str">
        <f t="shared" si="8"/>
        <v>Footprints\.PcbLib</v>
      </c>
      <c r="L15" s="4" t="str">
        <f t="shared" si="3"/>
        <v>Footprints\.PcbLib</v>
      </c>
      <c r="P15" s="6" t="s">
        <v>45</v>
      </c>
    </row>
    <row r="16" spans="1:12" ht="14.25" customHeight="1">
      <c r="A16" s="6" t="s">
        <v>1212</v>
      </c>
      <c r="B16" s="6" t="s">
        <v>1215</v>
      </c>
      <c r="C16" s="6" t="s">
        <v>1217</v>
      </c>
      <c r="D16" s="6" t="str">
        <f>CONCATENATE("Schematic\",A16,".SchLib")</f>
        <v>Schematic\4WayDIP.SchLib</v>
      </c>
      <c r="E16" s="6" t="s">
        <v>1223</v>
      </c>
      <c r="F16" s="6" t="s">
        <v>1225</v>
      </c>
      <c r="G16" s="6" t="s">
        <v>1226</v>
      </c>
      <c r="J16" s="6" t="str">
        <f t="shared" si="8"/>
        <v>Footprints\.PcbLib</v>
      </c>
      <c r="L16" s="4" t="str">
        <f t="shared" si="3"/>
        <v>Footprints\.PcbLib</v>
      </c>
    </row>
    <row r="17" spans="1:12" ht="14.25" customHeight="1">
      <c r="A17" s="6" t="s">
        <v>1230</v>
      </c>
      <c r="B17" s="6" t="s">
        <v>1232</v>
      </c>
      <c r="C17" s="6" t="str">
        <f t="shared" si="9" ref="C17:C28">A17</f>
        <v>Button_DIP_12x12</v>
      </c>
      <c r="D17" s="6" t="s">
        <v>1235</v>
      </c>
      <c r="E17" s="4" t="s">
        <v>1029</v>
      </c>
      <c r="F17" s="6" t="s">
        <v>1238</v>
      </c>
      <c r="G17" s="6" t="s">
        <v>1230</v>
      </c>
      <c r="J17" s="6" t="str">
        <f t="shared" si="8"/>
        <v>Footprints\.PcbLib</v>
      </c>
      <c r="L17" s="4" t="str">
        <f t="shared" si="3"/>
        <v>Footprints\.PcbLib</v>
      </c>
    </row>
    <row r="18" spans="1:16" ht="14.25" customHeight="1">
      <c r="A18" s="6" t="s">
        <v>1240</v>
      </c>
      <c r="B18" s="6" t="s">
        <v>1241</v>
      </c>
      <c r="C18" s="6" t="str">
        <f t="shared" si="9"/>
        <v>X322525MOB4SI</v>
      </c>
      <c r="D18" s="6" t="str">
        <f t="shared" si="10" ref="D18:D19">CONCATENATE("Schematic\",E18,".SchLib")</f>
        <v>Schematic\XTAL_1-3_GND.SchLib</v>
      </c>
      <c r="E18" s="6" t="s">
        <v>1245</v>
      </c>
      <c r="F18" s="6" t="s">
        <v>1247</v>
      </c>
      <c r="G18" s="6" t="s">
        <v>1240</v>
      </c>
      <c r="J18" s="6" t="str">
        <f t="shared" si="8"/>
        <v>Footprints\.PcbLib</v>
      </c>
      <c r="L18" s="4" t="str">
        <f t="shared" si="3"/>
        <v>Footprints\.PcbLib</v>
      </c>
      <c r="N18" s="6" t="s">
        <v>1253</v>
      </c>
      <c r="O18" s="6" t="s">
        <v>1256</v>
      </c>
      <c r="P18" s="6" t="s">
        <v>45</v>
      </c>
    </row>
    <row r="19" spans="1:16" ht="14.25" customHeight="1">
      <c r="A19" s="4" t="s">
        <v>1258</v>
      </c>
      <c r="B19" s="4" t="s">
        <v>1031</v>
      </c>
      <c r="C19" s="4" t="str">
        <f t="shared" si="9"/>
        <v>TSS-TD-19XA-XTR</v>
      </c>
      <c r="D19" s="6" t="str">
        <f t="shared" si="10"/>
        <v>Schematic\Tact_button.SchLib</v>
      </c>
      <c r="E19" s="4" t="s">
        <v>1029</v>
      </c>
      <c r="F19" s="4" t="str">
        <f>CONCATENATE("Footprints\Buttons\",G19,".PcbLib")</f>
        <v>Footprints\Buttons\TSS-TD-19XA-XTR.PcbLib</v>
      </c>
      <c r="G19" s="4" t="s">
        <v>1258</v>
      </c>
      <c r="H19" s="4"/>
      <c r="I19" s="4"/>
      <c r="J19" s="4"/>
      <c r="K19" s="4"/>
      <c r="L19" s="4" t="str">
        <f t="shared" si="3"/>
        <v>Footprints\.PcbLib</v>
      </c>
      <c r="O19" s="6" t="s">
        <v>1275</v>
      </c>
      <c r="P19" s="6" t="s">
        <v>64</v>
      </c>
    </row>
    <row r="20" spans="1:16" ht="14.25" customHeight="1">
      <c r="A20" s="6" t="s">
        <v>1278</v>
      </c>
      <c r="B20" s="4" t="s">
        <v>1280</v>
      </c>
      <c r="C20" s="4" t="str">
        <f t="shared" si="9"/>
        <v>SMT-NUT-M2H1.5</v>
      </c>
      <c r="D20" s="6" t="s">
        <v>1151</v>
      </c>
      <c r="E20" s="4" t="s">
        <v>1152</v>
      </c>
      <c r="F20" s="4" t="s">
        <v>1153</v>
      </c>
      <c r="G20" s="6">
        <v>9774015151</v>
      </c>
      <c r="L20" s="4" t="str">
        <f t="shared" si="3"/>
        <v>Footprints\.PcbLib</v>
      </c>
      <c r="O20" s="14" t="s">
        <v>1160</v>
      </c>
      <c r="P20" s="6" t="s">
        <v>64</v>
      </c>
    </row>
    <row r="21" spans="1:16" ht="14.25" customHeight="1">
      <c r="A21" s="6" t="s">
        <v>1290</v>
      </c>
      <c r="B21" s="6" t="s">
        <v>1292</v>
      </c>
      <c r="C21" s="6" t="str">
        <f t="shared" si="9"/>
        <v>LED 0603 RED</v>
      </c>
      <c r="D21" s="6" t="str">
        <f t="shared" si="11" ref="D21:D24">CONCATENATE("Schematic\",E21,".SchLib")</f>
        <v>Schematic\LED.SchLib</v>
      </c>
      <c r="E21" s="6" t="s">
        <v>1051</v>
      </c>
      <c r="F21" s="6" t="str">
        <f t="shared" si="12" ref="F21:F24">CONCATENATE("Footprints\",G21,".PcbLib")</f>
        <v>Footprints\0603D_red.PcbLib</v>
      </c>
      <c r="G21" s="6" t="s">
        <v>1300</v>
      </c>
      <c r="L21" s="4" t="str">
        <f t="shared" si="3"/>
        <v>Footprints\.PcbLib</v>
      </c>
      <c r="N21" s="6" t="s">
        <v>1303</v>
      </c>
      <c r="P21" s="6" t="s">
        <v>45</v>
      </c>
    </row>
    <row r="22" spans="1:16" ht="14.25" customHeight="1">
      <c r="A22" s="6" t="s">
        <v>1306</v>
      </c>
      <c r="B22" s="6" t="s">
        <v>1308</v>
      </c>
      <c r="C22" s="6" t="str">
        <f t="shared" si="9"/>
        <v>LED 0603 BLUE</v>
      </c>
      <c r="D22" s="6" t="str">
        <f t="shared" si="11"/>
        <v>Schematic\LED.SchLib</v>
      </c>
      <c r="E22" s="6" t="s">
        <v>1051</v>
      </c>
      <c r="F22" s="6" t="str">
        <f t="shared" si="12"/>
        <v>Footprints\0603D_blue.PcbLib</v>
      </c>
      <c r="G22" s="6" t="s">
        <v>1313</v>
      </c>
      <c r="L22" s="4" t="str">
        <f t="shared" si="3"/>
        <v>Footprints\.PcbLib</v>
      </c>
      <c r="N22" s="6" t="s">
        <v>1317</v>
      </c>
      <c r="P22" s="6" t="s">
        <v>45</v>
      </c>
    </row>
    <row r="23" spans="1:16" ht="14.25" customHeight="1">
      <c r="A23" s="6" t="s">
        <v>1323</v>
      </c>
      <c r="B23" s="6" t="s">
        <v>1324</v>
      </c>
      <c r="C23" s="6" t="str">
        <f t="shared" si="9"/>
        <v>LED 0603 YELLOW</v>
      </c>
      <c r="D23" s="6" t="str">
        <f t="shared" si="11"/>
        <v>Schematic\LED.SchLib</v>
      </c>
      <c r="E23" s="6" t="s">
        <v>1051</v>
      </c>
      <c r="F23" s="6" t="str">
        <f t="shared" si="12"/>
        <v>Footprints\0603D_yellow.PcbLib</v>
      </c>
      <c r="G23" s="6" t="s">
        <v>1329</v>
      </c>
      <c r="L23" s="4" t="str">
        <f t="shared" si="3"/>
        <v>Footprints\.PcbLib</v>
      </c>
      <c r="N23" s="6" t="s">
        <v>1334</v>
      </c>
      <c r="P23" s="6" t="s">
        <v>45</v>
      </c>
    </row>
    <row r="24" spans="1:16" ht="14.25" customHeight="1">
      <c r="A24" s="6" t="s">
        <v>1337</v>
      </c>
      <c r="B24" s="6" t="s">
        <v>1339</v>
      </c>
      <c r="C24" s="6" t="str">
        <f t="shared" si="9"/>
        <v>LED 0603 GREEN</v>
      </c>
      <c r="D24" s="6" t="str">
        <f t="shared" si="11"/>
        <v>Schematic\LED.SchLib</v>
      </c>
      <c r="E24" s="6" t="s">
        <v>1051</v>
      </c>
      <c r="F24" s="6" t="str">
        <f t="shared" si="12"/>
        <v>Footprints\0603D_green.PcbLib</v>
      </c>
      <c r="G24" s="6" t="s">
        <v>1342</v>
      </c>
      <c r="L24" s="4" t="str">
        <f t="shared" si="3"/>
        <v>Footprints\.PcbLib</v>
      </c>
      <c r="N24" s="6" t="s">
        <v>1346</v>
      </c>
      <c r="P24" s="6" t="s">
        <v>45</v>
      </c>
    </row>
    <row r="25" spans="1:16" ht="14.25" customHeight="1">
      <c r="A25" s="59" t="s">
        <v>1350</v>
      </c>
      <c r="B25" s="6" t="s">
        <v>1354</v>
      </c>
      <c r="C25" s="6" t="str">
        <f t="shared" si="9"/>
        <v>ASEK-32.768KHZ-LRT</v>
      </c>
      <c r="D25" s="6" t="str">
        <f t="shared" si="13" ref="D25:D26">CONCATENATE("Schematic\",A25,".SchLib")</f>
        <v>Schematic\ASEK-32.768KHZ-LRT.SchLib</v>
      </c>
      <c r="E25" s="6" t="str">
        <f t="shared" si="14" ref="E25:E26">A25</f>
        <v>ASEK-32.768KHZ-LRT</v>
      </c>
      <c r="F25" s="6" t="str">
        <f>CONCATENATE("Footprints\XTAL\",G25,".PcbLib")</f>
        <v>Footprints\XTAL\XTAL_ASEK-32.768KHZ-LRT.PcbLib</v>
      </c>
      <c r="G25" s="6" t="s">
        <v>1366</v>
      </c>
      <c r="J25" s="6" t="str">
        <f t="shared" si="15" ref="J25:J28">CONCATENATE("Footprints\",K25,".PcbLib")</f>
        <v>Footprints\.PcbLib</v>
      </c>
      <c r="L25" s="4" t="str">
        <f t="shared" si="3"/>
        <v>Footprints\.PcbLib</v>
      </c>
      <c r="N25" s="6" t="s">
        <v>1371</v>
      </c>
      <c r="P25" s="6" t="s">
        <v>45</v>
      </c>
    </row>
    <row r="26" spans="1:16" ht="14.25" customHeight="1">
      <c r="A26" s="6" t="s">
        <v>1375</v>
      </c>
      <c r="B26" s="6" t="s">
        <v>1377</v>
      </c>
      <c r="C26" s="6" t="str">
        <f t="shared" si="9"/>
        <v>MF-FSMF010X-2</v>
      </c>
      <c r="D26" s="6" t="str">
        <f t="shared" si="13"/>
        <v>Schematic\MF-FSMF010X-2.SchLib</v>
      </c>
      <c r="E26" s="6" t="str">
        <f t="shared" si="14"/>
        <v>MF-FSMF010X-2</v>
      </c>
      <c r="F26" s="6" t="s">
        <v>290</v>
      </c>
      <c r="J26" s="6" t="str">
        <f t="shared" si="15"/>
        <v>Footprints\.PcbLib</v>
      </c>
      <c r="L26" s="4" t="str">
        <f t="shared" si="3"/>
        <v>Footprints\.PcbLib</v>
      </c>
      <c r="P26" s="6" t="s">
        <v>1386</v>
      </c>
    </row>
    <row r="27" spans="1:16" ht="14.25" customHeight="1">
      <c r="A27" s="59" t="s">
        <v>1387</v>
      </c>
      <c r="B27" s="59" t="s">
        <v>1031</v>
      </c>
      <c r="C27" s="59" t="str">
        <f t="shared" si="9"/>
        <v>KLS7-TS3601</v>
      </c>
      <c r="D27" s="6" t="str">
        <f>CONCATENATE("Schematic\",E27,".SchLib")</f>
        <v>Schematic\Tact_button.SchLib</v>
      </c>
      <c r="E27" s="59" t="s">
        <v>1029</v>
      </c>
      <c r="F27" s="59" t="str">
        <f>CONCATENATE("Footprints\Buttons\",G27,".PcbLib")</f>
        <v>Footprints\Buttons\KLS7-TS3601.PcbLib</v>
      </c>
      <c r="G27" s="59" t="s">
        <v>1387</v>
      </c>
      <c r="H27" s="59"/>
      <c r="I27" s="59"/>
      <c r="J27" s="59" t="str">
        <f t="shared" si="15"/>
        <v>Footprints\.PcbLib</v>
      </c>
      <c r="K27" s="59"/>
      <c r="L27" s="4" t="str">
        <f t="shared" si="3"/>
        <v>Footprints\.PcbLib</v>
      </c>
      <c r="M27" s="59"/>
      <c r="N27" s="59"/>
      <c r="O27" s="59" t="s">
        <v>1400</v>
      </c>
      <c r="P27" s="59" t="s">
        <v>446</v>
      </c>
    </row>
    <row r="28" spans="1:16" ht="14.25" customHeight="1">
      <c r="A28" s="59" t="s">
        <v>1403</v>
      </c>
      <c r="B28" s="59" t="s">
        <v>1404</v>
      </c>
      <c r="C28" s="59" t="str">
        <f t="shared" si="9"/>
        <v>L-KLS5-CR2032-03</v>
      </c>
      <c r="D28" s="6" t="s">
        <v>1201</v>
      </c>
      <c r="E28" s="59" t="s">
        <v>1202</v>
      </c>
      <c r="F28" s="59" t="str">
        <f>CONCATENATE("Footprints\",G28,".PcbLib")</f>
        <v>Footprints\L-KLS5-CR2032-03.PcbLib</v>
      </c>
      <c r="G28" s="59" t="s">
        <v>1403</v>
      </c>
      <c r="H28" s="59"/>
      <c r="I28" s="59"/>
      <c r="J28" s="59" t="str">
        <f t="shared" si="15"/>
        <v>Footprints\.PcbLib</v>
      </c>
      <c r="K28" s="59"/>
      <c r="L28" s="4" t="str">
        <f t="shared" si="3"/>
        <v>Footprints\.PcbLib</v>
      </c>
      <c r="M28" s="59"/>
      <c r="N28" s="59"/>
      <c r="O28" s="59" t="s">
        <v>1419</v>
      </c>
      <c r="P28" s="59" t="s">
        <v>446</v>
      </c>
    </row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3927DBCC-10E8-42FE-9008-6493CFF0C1F7}" filter="1" showAutoFilter="1" topLeftCell="A1">
      <pageMargins left="0.75" right="0.75" top="1" bottom="1" header="0.5" footer="0.5"/>
      <autoFilter ref="A1:P28"/>
    </customSheetView>
  </customSheetViews>
  <hyperlinks>
    <hyperlink ref="O13" r:id="rId1" display="https://aliexpress.ru/item/1005005620368789.html?sku_id=12000033777723210&amp;srcSns=sns_More&amp;businessType=ProductDetail&amp;spreadType=socialShare&amp;tt=MG&amp;utm_medium=sharing"/>
    <hyperlink ref="O20" r:id="rId2" display="https://aliexpress.ru/item/1005005620368789.html?sku_id=12000033777723210&amp;srcSns=sns_More&amp;businessType=ProductDetail&amp;spreadType=socialShare&amp;tt=MG&amp;utm_medium=sharing"/>
  </hyperlinks>
  <pageMargins left="0.7" right="0.7" top="0.75" bottom="0.75" header="0" footer="0"/>
  <pageSetup orientation="portrait" paperSize="9"/>
  <tableParts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00000000-0001-0000-0D00-000000000000}">
  <dimension ref="A1:L68"/>
  <sheetViews>
    <sheetView workbookViewId="0" topLeftCell="A1">
      <pane ySplit="1" topLeftCell="A2" activePane="bottomLeft" state="frozen"/>
      <selection pane="topLeft" activeCell="A1" sqref="A1"/>
      <selection pane="bottomLeft" activeCell="B3" sqref="B3"/>
    </sheetView>
  </sheetViews>
  <sheetFormatPr defaultColWidth="14.4342857142857" defaultRowHeight="15" customHeight="1"/>
  <cols>
    <col min="1" max="1" width="14.7142857142857" customWidth="1"/>
    <col min="2" max="2" width="40.4285714285714" customWidth="1"/>
    <col min="3" max="3" width="13.2857142857143" customWidth="1"/>
    <col min="4" max="4" width="45.7142857142857" customWidth="1"/>
    <col min="5" max="5" width="17.2857142857143" customWidth="1"/>
    <col min="6" max="6" width="51" customWidth="1"/>
    <col min="7" max="7" width="16.7142857142857" customWidth="1"/>
    <col min="8" max="8" width="44.4285714285714" customWidth="1"/>
    <col min="9" max="9" width="23.7142857142857" customWidth="1"/>
    <col min="10" max="10" width="28.7142857142857" customWidth="1"/>
    <col min="11" max="11" width="11.7142857142857" customWidth="1"/>
    <col min="12" max="26" width="8.71428571428571" customWidth="1"/>
  </cols>
  <sheetData>
    <row r="1" spans="1:12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11</v>
      </c>
      <c r="K1" s="1" t="s">
        <v>1155</v>
      </c>
      <c r="L1" s="53" t="s">
        <v>13</v>
      </c>
    </row>
    <row r="2" spans="1:11" ht="14.25" customHeight="1">
      <c r="A2" s="4" t="s">
        <v>1157</v>
      </c>
      <c r="B2" s="4" t="s">
        <v>1159</v>
      </c>
      <c r="C2" s="4" t="s">
        <v>1157</v>
      </c>
      <c r="D2" s="6" t="s">
        <v>1161</v>
      </c>
      <c r="E2" s="4" t="s">
        <v>1162</v>
      </c>
      <c r="F2" s="6" t="s">
        <v>1163</v>
      </c>
      <c r="G2" s="4" t="s">
        <v>1157</v>
      </c>
      <c r="K2" s="6" t="s">
        <v>1165</v>
      </c>
    </row>
    <row r="3" spans="1:11" ht="14.25" customHeight="1">
      <c r="A3" s="4" t="s">
        <v>1166</v>
      </c>
      <c r="B3" s="4" t="s">
        <v>1159</v>
      </c>
      <c r="C3" s="4" t="s">
        <v>1166</v>
      </c>
      <c r="D3" s="6" t="s">
        <v>1167</v>
      </c>
      <c r="E3" s="4" t="s">
        <v>1168</v>
      </c>
      <c r="F3" s="6" t="s">
        <v>1169</v>
      </c>
      <c r="G3" s="4" t="s">
        <v>1166</v>
      </c>
      <c r="K3" s="6" t="s">
        <v>1165</v>
      </c>
    </row>
    <row r="4" spans="1:12" ht="14.25" customHeight="1">
      <c r="A4" s="6" t="s">
        <v>1170</v>
      </c>
      <c r="B4" s="6" t="s">
        <v>1171</v>
      </c>
      <c r="C4" s="4" t="s">
        <v>1170</v>
      </c>
      <c r="D4" s="6" t="s">
        <v>1172</v>
      </c>
      <c r="E4" s="4" t="s">
        <v>1173</v>
      </c>
      <c r="F4" s="6" t="s">
        <v>1174</v>
      </c>
      <c r="G4" s="6" t="s">
        <v>1175</v>
      </c>
      <c r="K4" s="6" t="s">
        <v>1165</v>
      </c>
      <c r="L4" s="6" t="s">
        <v>64</v>
      </c>
    </row>
    <row r="5" spans="1:12" ht="14.25" customHeight="1">
      <c r="A5" s="6" t="s">
        <v>1177</v>
      </c>
      <c r="B5" s="6" t="s">
        <v>1179</v>
      </c>
      <c r="C5" s="4" t="s">
        <v>1177</v>
      </c>
      <c r="D5" s="6" t="s">
        <v>1182</v>
      </c>
      <c r="E5" s="4" t="s">
        <v>1183</v>
      </c>
      <c r="F5" s="6" t="s">
        <v>1185</v>
      </c>
      <c r="G5" s="6" t="s">
        <v>1177</v>
      </c>
      <c r="K5" s="6" t="s">
        <v>1165</v>
      </c>
      <c r="L5" s="6" t="s">
        <v>64</v>
      </c>
    </row>
    <row r="6" spans="1:11" ht="14.25" customHeight="1">
      <c r="A6" s="6" t="s">
        <v>1186</v>
      </c>
      <c r="B6" s="6" t="s">
        <v>1188</v>
      </c>
      <c r="C6" s="4" t="s">
        <v>1186</v>
      </c>
      <c r="D6" s="6" t="s">
        <v>1189</v>
      </c>
      <c r="E6" s="4" t="s">
        <v>1190</v>
      </c>
      <c r="F6" s="6" t="s">
        <v>1191</v>
      </c>
      <c r="G6" s="6" t="s">
        <v>1186</v>
      </c>
      <c r="H6" s="6" t="s">
        <v>1192</v>
      </c>
      <c r="I6" s="6" t="s">
        <v>1193</v>
      </c>
      <c r="K6" s="6" t="s">
        <v>1165</v>
      </c>
    </row>
    <row r="7" spans="1:12" ht="14.25" customHeight="1">
      <c r="A7" s="6" t="s">
        <v>1195</v>
      </c>
      <c r="B7" s="6" t="s">
        <v>1196</v>
      </c>
      <c r="C7" s="4" t="s">
        <v>1195</v>
      </c>
      <c r="D7" s="6" t="s">
        <v>1197</v>
      </c>
      <c r="E7" s="4" t="s">
        <v>1199</v>
      </c>
      <c r="F7" s="6" t="s">
        <v>1200</v>
      </c>
      <c r="G7" s="6" t="s">
        <v>1195</v>
      </c>
      <c r="K7" s="6" t="s">
        <v>1165</v>
      </c>
      <c r="L7" s="6" t="s">
        <v>45</v>
      </c>
    </row>
    <row r="8" spans="1:11" ht="14.25" customHeight="1">
      <c r="A8" s="6" t="s">
        <v>1204</v>
      </c>
      <c r="B8" s="6" t="s">
        <v>1205</v>
      </c>
      <c r="C8" s="4" t="s">
        <v>1204</v>
      </c>
      <c r="D8" s="6" t="s">
        <v>1207</v>
      </c>
      <c r="E8" s="6" t="s">
        <v>1208</v>
      </c>
      <c r="F8" s="6" t="s">
        <v>1209</v>
      </c>
      <c r="G8" s="6" t="s">
        <v>1204</v>
      </c>
      <c r="H8" s="6" t="s">
        <v>1210</v>
      </c>
      <c r="I8" s="6" t="s">
        <v>1211</v>
      </c>
      <c r="K8" s="6" t="s">
        <v>1165</v>
      </c>
    </row>
    <row r="9" spans="1:12" ht="14.25" customHeight="1">
      <c r="A9" s="6" t="s">
        <v>1213</v>
      </c>
      <c r="B9" s="6" t="s">
        <v>1214</v>
      </c>
      <c r="C9" s="4" t="s">
        <v>1213</v>
      </c>
      <c r="D9" s="6" t="s">
        <v>1218</v>
      </c>
      <c r="E9" s="6" t="s">
        <v>1219</v>
      </c>
      <c r="F9" s="6" t="s">
        <v>1220</v>
      </c>
      <c r="G9" s="6" t="s">
        <v>1213</v>
      </c>
      <c r="K9" s="6" t="s">
        <v>1165</v>
      </c>
      <c r="L9" s="6" t="s">
        <v>45</v>
      </c>
    </row>
    <row r="10" spans="1:11" ht="14.25" customHeight="1">
      <c r="A10" s="6" t="s">
        <v>1221</v>
      </c>
      <c r="B10" s="6" t="s">
        <v>1224</v>
      </c>
      <c r="C10" s="4" t="s">
        <v>1221</v>
      </c>
      <c r="D10" s="6" t="s">
        <v>1207</v>
      </c>
      <c r="E10" s="6" t="s">
        <v>1208</v>
      </c>
      <c r="F10" s="6" t="s">
        <v>1227</v>
      </c>
      <c r="G10" s="6" t="s">
        <v>1221</v>
      </c>
      <c r="K10" s="6" t="s">
        <v>1165</v>
      </c>
    </row>
    <row r="11" spans="1:12" ht="14.25" customHeight="1">
      <c r="A11" s="6" t="s">
        <v>1228</v>
      </c>
      <c r="B11" s="6" t="s">
        <v>1229</v>
      </c>
      <c r="C11" s="4" t="s">
        <v>1228</v>
      </c>
      <c r="D11" s="6" t="s">
        <v>1231</v>
      </c>
      <c r="E11" s="6" t="s">
        <v>1233</v>
      </c>
      <c r="F11" s="6" t="s">
        <v>1234</v>
      </c>
      <c r="G11" s="6" t="s">
        <v>1228</v>
      </c>
      <c r="K11" s="6" t="s">
        <v>1165</v>
      </c>
      <c r="L11" s="6" t="s">
        <v>45</v>
      </c>
    </row>
    <row r="12" spans="1:12" ht="14.25" customHeight="1">
      <c r="A12" s="6" t="s">
        <v>1236</v>
      </c>
      <c r="B12" s="6" t="s">
        <v>1237</v>
      </c>
      <c r="C12" s="4" t="s">
        <v>1236</v>
      </c>
      <c r="D12" s="6" t="s">
        <v>1231</v>
      </c>
      <c r="E12" s="6" t="s">
        <v>1233</v>
      </c>
      <c r="F12" s="6" t="s">
        <v>1239</v>
      </c>
      <c r="G12" s="6" t="s">
        <v>1236</v>
      </c>
      <c r="K12" s="6" t="s">
        <v>1165</v>
      </c>
      <c r="L12" s="6" t="s">
        <v>45</v>
      </c>
    </row>
    <row r="13" spans="1:11" ht="14.25" customHeight="1">
      <c r="A13" s="6" t="s">
        <v>1242</v>
      </c>
      <c r="B13" s="6" t="s">
        <v>1243</v>
      </c>
      <c r="C13" s="4"/>
      <c r="D13" s="6" t="s">
        <v>1197</v>
      </c>
      <c r="E13" s="6" t="s">
        <v>1199</v>
      </c>
      <c r="F13" s="6" t="s">
        <v>1244</v>
      </c>
      <c r="G13" s="6" t="s">
        <v>1242</v>
      </c>
      <c r="K13" s="6" t="s">
        <v>1165</v>
      </c>
    </row>
    <row r="14" spans="1:11" ht="14.25" customHeight="1">
      <c r="A14" s="6" t="s">
        <v>1248</v>
      </c>
      <c r="B14" s="6" t="s">
        <v>1250</v>
      </c>
      <c r="C14" s="4" t="s">
        <v>1251</v>
      </c>
      <c r="D14" s="6" t="s">
        <v>1252</v>
      </c>
      <c r="E14" s="6" t="s">
        <v>1251</v>
      </c>
      <c r="F14" s="6" t="s">
        <v>1254</v>
      </c>
      <c r="G14" s="6" t="s">
        <v>1251</v>
      </c>
      <c r="K14" s="6" t="s">
        <v>1165</v>
      </c>
    </row>
    <row r="15" spans="1:11" ht="14.25" customHeight="1">
      <c r="A15" s="6" t="s">
        <v>1257</v>
      </c>
      <c r="B15" s="6" t="s">
        <v>1259</v>
      </c>
      <c r="C15" s="4" t="s">
        <v>1257</v>
      </c>
      <c r="D15" s="6" t="s">
        <v>1260</v>
      </c>
      <c r="E15" s="6" t="s">
        <v>1257</v>
      </c>
      <c r="F15" s="6" t="s">
        <v>1262</v>
      </c>
      <c r="G15" s="6" t="s">
        <v>1257</v>
      </c>
      <c r="K15" s="6" t="s">
        <v>1165</v>
      </c>
    </row>
    <row r="16" spans="1:12" ht="14.25" customHeight="1">
      <c r="A16" s="6" t="s">
        <v>1263</v>
      </c>
      <c r="B16" s="6" t="s">
        <v>1264</v>
      </c>
      <c r="C16" s="4" t="s">
        <v>1265</v>
      </c>
      <c r="D16" s="6" t="s">
        <v>1266</v>
      </c>
      <c r="E16" s="6" t="s">
        <v>1263</v>
      </c>
      <c r="F16" s="6" t="s">
        <v>1267</v>
      </c>
      <c r="G16" s="6" t="s">
        <v>1263</v>
      </c>
      <c r="K16" s="6" t="s">
        <v>1165</v>
      </c>
      <c r="L16" s="6" t="s">
        <v>45</v>
      </c>
    </row>
    <row r="17" spans="1:12" ht="14.25" customHeight="1">
      <c r="A17" s="6" t="s">
        <v>1270</v>
      </c>
      <c r="B17" s="6" t="s">
        <v>1271</v>
      </c>
      <c r="C17" s="4" t="s">
        <v>1272</v>
      </c>
      <c r="D17" s="6" t="s">
        <v>1273</v>
      </c>
      <c r="E17" s="6" t="s">
        <v>1270</v>
      </c>
      <c r="F17" s="6" t="s">
        <v>1276</v>
      </c>
      <c r="G17" s="6" t="s">
        <v>1277</v>
      </c>
      <c r="K17" s="6" t="s">
        <v>1165</v>
      </c>
      <c r="L17" s="6" t="s">
        <v>45</v>
      </c>
    </row>
    <row r="18" spans="1:12" ht="14.25" customHeight="1">
      <c r="A18" s="6" t="s">
        <v>1279</v>
      </c>
      <c r="B18" s="6" t="s">
        <v>1281</v>
      </c>
      <c r="C18" s="4" t="s">
        <v>1279</v>
      </c>
      <c r="D18" s="6" t="s">
        <v>1161</v>
      </c>
      <c r="E18" s="6" t="s">
        <v>1162</v>
      </c>
      <c r="F18" s="6" t="s">
        <v>1282</v>
      </c>
      <c r="G18" s="6" t="s">
        <v>1279</v>
      </c>
      <c r="K18" s="6" t="s">
        <v>1165</v>
      </c>
      <c r="L18" s="6" t="s">
        <v>45</v>
      </c>
    </row>
    <row r="19" spans="1:12" ht="14.25" customHeight="1">
      <c r="A19" s="6" t="s">
        <v>1285</v>
      </c>
      <c r="B19" s="6" t="s">
        <v>1286</v>
      </c>
      <c r="C19" s="4" t="s">
        <v>1287</v>
      </c>
      <c r="D19" s="6" t="s">
        <v>1288</v>
      </c>
      <c r="E19" s="6" t="s">
        <v>1285</v>
      </c>
      <c r="F19" s="6" t="s">
        <v>1289</v>
      </c>
      <c r="G19" s="6" t="s">
        <v>1285</v>
      </c>
      <c r="K19" s="6" t="s">
        <v>1165</v>
      </c>
      <c r="L19" s="6" t="s">
        <v>45</v>
      </c>
    </row>
    <row r="20" spans="1:12" ht="14.25" customHeight="1">
      <c r="A20" s="6" t="s">
        <v>1293</v>
      </c>
      <c r="B20" s="6" t="s">
        <v>1271</v>
      </c>
      <c r="C20" s="4" t="s">
        <v>1294</v>
      </c>
      <c r="D20" s="6" t="s">
        <v>1273</v>
      </c>
      <c r="E20" s="6" t="s">
        <v>1270</v>
      </c>
      <c r="F20" s="6" t="s">
        <v>1295</v>
      </c>
      <c r="G20" s="6" t="s">
        <v>1296</v>
      </c>
      <c r="K20" s="6" t="s">
        <v>1165</v>
      </c>
      <c r="L20" s="6" t="s">
        <v>45</v>
      </c>
    </row>
    <row r="21" spans="1:12" ht="14.25" customHeight="1">
      <c r="A21" s="6" t="s">
        <v>1297</v>
      </c>
      <c r="B21" s="6" t="s">
        <v>1298</v>
      </c>
      <c r="C21" s="4" t="s">
        <v>1297</v>
      </c>
      <c r="D21" s="6" t="s">
        <v>1189</v>
      </c>
      <c r="E21" s="6" t="s">
        <v>1190</v>
      </c>
      <c r="F21" s="6" t="s">
        <v>1301</v>
      </c>
      <c r="G21" s="6" t="s">
        <v>1297</v>
      </c>
      <c r="K21" s="6" t="s">
        <v>1165</v>
      </c>
      <c r="L21" s="6" t="s">
        <v>45</v>
      </c>
    </row>
    <row r="22" spans="1:12" ht="14.25" customHeight="1">
      <c r="A22" s="6" t="s">
        <v>1304</v>
      </c>
      <c r="B22" s="6" t="s">
        <v>1305</v>
      </c>
      <c r="C22" s="4" t="s">
        <v>1304</v>
      </c>
      <c r="D22" s="6" t="s">
        <v>1172</v>
      </c>
      <c r="E22" s="6" t="s">
        <v>1173</v>
      </c>
      <c r="F22" s="6" t="s">
        <v>1309</v>
      </c>
      <c r="G22" s="6" t="s">
        <v>1304</v>
      </c>
      <c r="K22" s="6" t="s">
        <v>1165</v>
      </c>
      <c r="L22" s="6" t="s">
        <v>45</v>
      </c>
    </row>
    <row r="23" spans="1:12" ht="14.25" customHeight="1">
      <c r="A23" s="6" t="s">
        <v>1310</v>
      </c>
      <c r="B23" s="6" t="s">
        <v>1311</v>
      </c>
      <c r="C23" s="4" t="s">
        <v>1310</v>
      </c>
      <c r="D23" s="6" t="s">
        <v>1182</v>
      </c>
      <c r="E23" s="6" t="s">
        <v>1183</v>
      </c>
      <c r="F23" s="6" t="s">
        <v>1312</v>
      </c>
      <c r="G23" s="6" t="s">
        <v>1310</v>
      </c>
      <c r="K23" s="6" t="s">
        <v>1165</v>
      </c>
      <c r="L23" s="6" t="s">
        <v>45</v>
      </c>
    </row>
    <row r="24" spans="1:12" ht="14.25" customHeight="1">
      <c r="A24" s="6" t="s">
        <v>1314</v>
      </c>
      <c r="B24" s="6" t="s">
        <v>1316</v>
      </c>
      <c r="C24" s="4" t="s">
        <v>1314</v>
      </c>
      <c r="D24" s="6" t="s">
        <v>1189</v>
      </c>
      <c r="E24" s="6" t="s">
        <v>1190</v>
      </c>
      <c r="F24" s="6" t="s">
        <v>1319</v>
      </c>
      <c r="G24" s="6" t="s">
        <v>1314</v>
      </c>
      <c r="K24" s="6" t="s">
        <v>1165</v>
      </c>
      <c r="L24" s="6" t="s">
        <v>45</v>
      </c>
    </row>
    <row r="25" spans="1:12" ht="14.25" customHeight="1">
      <c r="A25" s="6" t="s">
        <v>1321</v>
      </c>
      <c r="B25" s="6" t="s">
        <v>1322</v>
      </c>
      <c r="C25" s="4" t="s">
        <v>1321</v>
      </c>
      <c r="D25" s="6" t="s">
        <v>1172</v>
      </c>
      <c r="E25" s="6" t="s">
        <v>1173</v>
      </c>
      <c r="F25" s="6" t="s">
        <v>1325</v>
      </c>
      <c r="G25" s="6" t="s">
        <v>1321</v>
      </c>
      <c r="K25" s="6" t="s">
        <v>1165</v>
      </c>
      <c r="L25" s="6" t="s">
        <v>45</v>
      </c>
    </row>
    <row r="26" spans="1:12" ht="14.25" customHeight="1">
      <c r="A26" s="6" t="s">
        <v>1326</v>
      </c>
      <c r="B26" s="6" t="s">
        <v>1327</v>
      </c>
      <c r="C26" s="4" t="s">
        <v>1326</v>
      </c>
      <c r="D26" s="6" t="s">
        <v>1330</v>
      </c>
      <c r="E26" s="6" t="s">
        <v>1331</v>
      </c>
      <c r="F26" s="6" t="s">
        <v>1333</v>
      </c>
      <c r="G26" s="6" t="s">
        <v>1326</v>
      </c>
      <c r="K26" s="6" t="s">
        <v>1165</v>
      </c>
      <c r="L26" s="6" t="s">
        <v>45</v>
      </c>
    </row>
    <row r="27" spans="1:12" ht="14.25" customHeight="1">
      <c r="A27" s="6" t="s">
        <v>1336</v>
      </c>
      <c r="B27" s="6" t="s">
        <v>1338</v>
      </c>
      <c r="C27" s="4" t="s">
        <v>1336</v>
      </c>
      <c r="D27" s="6" t="s">
        <v>1207</v>
      </c>
      <c r="E27" s="4" t="s">
        <v>1208</v>
      </c>
      <c r="F27" s="6" t="s">
        <v>1174</v>
      </c>
      <c r="G27" s="6" t="s">
        <v>1340</v>
      </c>
      <c r="K27" s="6" t="s">
        <v>1165</v>
      </c>
      <c r="L27" s="6" t="s">
        <v>45</v>
      </c>
    </row>
    <row r="28" spans="1:12" ht="14.25" customHeight="1">
      <c r="A28" s="6" t="s">
        <v>1344</v>
      </c>
      <c r="B28" s="6" t="s">
        <v>1345</v>
      </c>
      <c r="C28" s="6" t="s">
        <v>1344</v>
      </c>
      <c r="D28" s="6" t="s">
        <v>1172</v>
      </c>
      <c r="E28" s="4" t="s">
        <v>1173</v>
      </c>
      <c r="F28" s="6" t="s">
        <v>1348</v>
      </c>
      <c r="G28" s="6" t="s">
        <v>1349</v>
      </c>
      <c r="J28" s="6" t="s">
        <v>1351</v>
      </c>
      <c r="K28" s="6" t="s">
        <v>1165</v>
      </c>
      <c r="L28" s="6" t="s">
        <v>45</v>
      </c>
    </row>
    <row r="29" spans="1:12" ht="14.25" customHeight="1">
      <c r="A29" s="6" t="s">
        <v>1352</v>
      </c>
      <c r="B29" s="6" t="s">
        <v>1353</v>
      </c>
      <c r="C29" s="6" t="s">
        <v>1352</v>
      </c>
      <c r="D29" s="6" t="s">
        <v>1207</v>
      </c>
      <c r="E29" s="4" t="s">
        <v>1208</v>
      </c>
      <c r="F29" s="6" t="s">
        <v>1348</v>
      </c>
      <c r="G29" s="6" t="s">
        <v>1356</v>
      </c>
      <c r="J29" s="6" t="s">
        <v>1351</v>
      </c>
      <c r="K29" s="6" t="s">
        <v>1165</v>
      </c>
      <c r="L29" s="6" t="s">
        <v>45</v>
      </c>
    </row>
    <row r="30" spans="1:12" ht="14.25" customHeight="1">
      <c r="A30" s="6" t="s">
        <v>1358</v>
      </c>
      <c r="B30" s="6" t="s">
        <v>1359</v>
      </c>
      <c r="C30" s="6" t="str">
        <f>Connectors!$A30</f>
        <v>PBS-4</v>
      </c>
      <c r="D30" s="6" t="s">
        <v>1172</v>
      </c>
      <c r="E30" s="4" t="s">
        <v>1173</v>
      </c>
      <c r="F30" s="6" t="s">
        <v>1361</v>
      </c>
      <c r="G30" s="6" t="s">
        <v>1362</v>
      </c>
      <c r="J30" s="6" t="s">
        <v>1363</v>
      </c>
      <c r="K30" s="6" t="s">
        <v>1165</v>
      </c>
      <c r="L30" s="6" t="s">
        <v>45</v>
      </c>
    </row>
    <row r="31" spans="1:12" ht="14.25" customHeight="1">
      <c r="A31" s="6" t="s">
        <v>1367</v>
      </c>
      <c r="B31" s="6" t="s">
        <v>1359</v>
      </c>
      <c r="C31" s="6" t="str">
        <f>Connectors!$A31</f>
        <v>PBS-2</v>
      </c>
      <c r="D31" s="6" t="s">
        <v>1207</v>
      </c>
      <c r="E31" s="4" t="s">
        <v>1208</v>
      </c>
      <c r="F31" s="6" t="s">
        <v>1361</v>
      </c>
      <c r="G31" s="6" t="s">
        <v>1369</v>
      </c>
      <c r="J31" s="6" t="s">
        <v>1363</v>
      </c>
      <c r="K31" s="6" t="s">
        <v>1165</v>
      </c>
      <c r="L31" s="6" t="s">
        <v>45</v>
      </c>
    </row>
    <row r="32" spans="1:12" ht="14.25" customHeight="1">
      <c r="A32" s="6" t="s">
        <v>1373</v>
      </c>
      <c r="B32" s="6" t="s">
        <v>1196</v>
      </c>
      <c r="C32" s="6" t="s">
        <v>1373</v>
      </c>
      <c r="D32" s="6" t="s">
        <v>1207</v>
      </c>
      <c r="E32" s="4" t="s">
        <v>1208</v>
      </c>
      <c r="F32" s="6" t="s">
        <v>1376</v>
      </c>
      <c r="G32" s="6" t="s">
        <v>1373</v>
      </c>
      <c r="J32" s="6" t="s">
        <v>1378</v>
      </c>
      <c r="K32" s="6" t="s">
        <v>1165</v>
      </c>
      <c r="L32" s="6" t="s">
        <v>45</v>
      </c>
    </row>
    <row r="33" spans="1:12" ht="14.25" customHeight="1">
      <c r="A33" s="6" t="s">
        <v>1379</v>
      </c>
      <c r="B33" s="6" t="s">
        <v>1380</v>
      </c>
      <c r="C33" s="6" t="s">
        <v>1379</v>
      </c>
      <c r="D33" s="6" t="s">
        <v>1182</v>
      </c>
      <c r="E33" s="4" t="s">
        <v>1183</v>
      </c>
      <c r="F33" s="6" t="s">
        <v>1174</v>
      </c>
      <c r="G33" s="6" t="s">
        <v>1383</v>
      </c>
      <c r="J33" s="6" t="s">
        <v>1384</v>
      </c>
      <c r="K33" s="6" t="s">
        <v>1165</v>
      </c>
      <c r="L33" s="6" t="s">
        <v>45</v>
      </c>
    </row>
    <row r="34" spans="1:12" ht="14.25" customHeight="1">
      <c r="A34" s="6" t="s">
        <v>1388</v>
      </c>
      <c r="B34" s="6" t="s">
        <v>1389</v>
      </c>
      <c r="C34" s="6" t="s">
        <v>1388</v>
      </c>
      <c r="D34" s="6" t="s">
        <v>1390</v>
      </c>
      <c r="E34" s="4" t="s">
        <v>1391</v>
      </c>
      <c r="F34" s="6" t="s">
        <v>1393</v>
      </c>
      <c r="G34" s="6" t="s">
        <v>1394</v>
      </c>
      <c r="J34" s="6" t="s">
        <v>1363</v>
      </c>
      <c r="K34" s="6" t="s">
        <v>1165</v>
      </c>
      <c r="L34" s="6" t="s">
        <v>45</v>
      </c>
    </row>
    <row r="35" spans="1:12" ht="14.25" customHeight="1">
      <c r="A35" s="6" t="s">
        <v>1396</v>
      </c>
      <c r="B35" s="6" t="s">
        <v>1389</v>
      </c>
      <c r="C35" s="6" t="s">
        <v>1396</v>
      </c>
      <c r="D35" s="6" t="s">
        <v>1390</v>
      </c>
      <c r="E35" s="4" t="s">
        <v>1391</v>
      </c>
      <c r="F35" s="6" t="s">
        <v>1398</v>
      </c>
      <c r="G35" s="6" t="s">
        <v>1399</v>
      </c>
      <c r="J35" s="14" t="s">
        <v>1384</v>
      </c>
      <c r="K35" s="6" t="s">
        <v>1165</v>
      </c>
      <c r="L35" s="6" t="s">
        <v>45</v>
      </c>
    </row>
    <row r="36" spans="1:12" ht="14.25" customHeight="1">
      <c r="A36" s="6" t="s">
        <v>1406</v>
      </c>
      <c r="B36" s="6" t="s">
        <v>1407</v>
      </c>
      <c r="C36" s="4" t="s">
        <v>1408</v>
      </c>
      <c r="D36" s="6" t="s">
        <v>1409</v>
      </c>
      <c r="E36" s="6" t="s">
        <v>1410</v>
      </c>
      <c r="F36" s="6" t="s">
        <v>1411</v>
      </c>
      <c r="G36" s="6" t="s">
        <v>1406</v>
      </c>
      <c r="J36" s="6" t="s">
        <v>1412</v>
      </c>
      <c r="K36" s="6" t="s">
        <v>1165</v>
      </c>
      <c r="L36" s="6" t="s">
        <v>45</v>
      </c>
    </row>
    <row r="37" spans="1:12" ht="14.25" customHeight="1">
      <c r="A37" s="6" t="s">
        <v>1414</v>
      </c>
      <c r="B37" s="6" t="s">
        <v>1416</v>
      </c>
      <c r="C37" s="4" t="s">
        <v>1414</v>
      </c>
      <c r="D37" s="6" t="s">
        <v>1189</v>
      </c>
      <c r="E37" s="4" t="s">
        <v>1190</v>
      </c>
      <c r="F37" s="6" t="s">
        <v>1174</v>
      </c>
      <c r="G37" s="6" t="s">
        <v>1418</v>
      </c>
      <c r="J37" s="6" t="s">
        <v>1384</v>
      </c>
      <c r="K37" s="6" t="s">
        <v>1165</v>
      </c>
      <c r="L37" s="6" t="s">
        <v>45</v>
      </c>
    </row>
    <row r="38" spans="1:11" ht="14.25" customHeight="1">
      <c r="A38" s="6" t="s">
        <v>1420</v>
      </c>
      <c r="B38" s="6" t="s">
        <v>1421</v>
      </c>
      <c r="C38" s="4" t="s">
        <v>1420</v>
      </c>
      <c r="D38" s="6" t="s">
        <v>1423</v>
      </c>
      <c r="E38" s="6" t="s">
        <v>1420</v>
      </c>
      <c r="F38" s="6" t="s">
        <v>1425</v>
      </c>
      <c r="G38" s="6" t="s">
        <v>1420</v>
      </c>
      <c r="K38" s="6" t="s">
        <v>1165</v>
      </c>
    </row>
    <row r="39" spans="1:11" ht="14.25" customHeight="1">
      <c r="A39" s="6" t="s">
        <v>1427</v>
      </c>
      <c r="B39" s="6" t="s">
        <v>1428</v>
      </c>
      <c r="C39" s="4" t="s">
        <v>1427</v>
      </c>
      <c r="D39" s="6" t="s">
        <v>1429</v>
      </c>
      <c r="E39" s="6" t="s">
        <v>1427</v>
      </c>
      <c r="F39" s="6" t="s">
        <v>1430</v>
      </c>
      <c r="G39" s="6" t="s">
        <v>1427</v>
      </c>
      <c r="K39" s="6" t="s">
        <v>1165</v>
      </c>
    </row>
    <row r="40" spans="1:12" ht="14.25" customHeight="1">
      <c r="A40" s="6" t="s">
        <v>1431</v>
      </c>
      <c r="B40" s="6" t="s">
        <v>1432</v>
      </c>
      <c r="C40" s="6" t="s">
        <v>1431</v>
      </c>
      <c r="D40" s="6" t="s">
        <v>1435</v>
      </c>
      <c r="E40" s="6" t="s">
        <v>1436</v>
      </c>
      <c r="F40" s="6" t="s">
        <v>1437</v>
      </c>
      <c r="G40" s="6" t="s">
        <v>1438</v>
      </c>
      <c r="H40" s="6" t="s">
        <v>1440</v>
      </c>
      <c r="I40" s="6" t="s">
        <v>1431</v>
      </c>
      <c r="J40" s="6" t="s">
        <v>1441</v>
      </c>
      <c r="K40" s="6" t="s">
        <v>1165</v>
      </c>
      <c r="L40" s="6" t="s">
        <v>45</v>
      </c>
    </row>
    <row r="41" spans="1:11" ht="14.25" customHeight="1">
      <c r="A41" s="6" t="s">
        <v>1442</v>
      </c>
      <c r="B41" s="6" t="s">
        <v>1443</v>
      </c>
      <c r="C41" s="4" t="s">
        <v>1444</v>
      </c>
      <c r="D41" s="6" t="s">
        <v>1445</v>
      </c>
      <c r="E41" s="6" t="s">
        <v>1446</v>
      </c>
      <c r="F41" s="6" t="s">
        <v>1447</v>
      </c>
      <c r="G41" s="6" t="s">
        <v>1449</v>
      </c>
      <c r="K41" s="6" t="s">
        <v>1165</v>
      </c>
    </row>
    <row r="42" spans="1:12" ht="14.25" customHeight="1">
      <c r="A42" s="4" t="s">
        <v>1451</v>
      </c>
      <c r="B42" s="6" t="s">
        <v>1452</v>
      </c>
      <c r="C42" s="4" t="str">
        <f t="shared" si="0" ref="C42:C47">A42</f>
        <v>DF12(3.0)-32DP</v>
      </c>
      <c r="D42" s="6" t="str">
        <f t="shared" si="1" ref="D42:D47">CONCATENATE("Schematic\Connectors\",E42,".SchLib")</f>
        <v>Schematic\Connectors\Conn_32pin.SchLib</v>
      </c>
      <c r="E42" s="6" t="s">
        <v>1454</v>
      </c>
      <c r="F42" s="6" t="str">
        <f t="shared" si="2" ref="F42:F46">CONCATENATE("Footprints\Connectors\",G42,".PcbLib")</f>
        <v>Footprints\Connectors\DF12(3.0)-32DP.PcbLib</v>
      </c>
      <c r="G42" s="6" t="s">
        <v>1451</v>
      </c>
      <c r="K42" s="6" t="s">
        <v>1165</v>
      </c>
      <c r="L42" s="6" t="s">
        <v>64</v>
      </c>
    </row>
    <row r="43" spans="1:12" ht="14.25" customHeight="1">
      <c r="A43" s="4" t="s">
        <v>1457</v>
      </c>
      <c r="B43" s="6" t="s">
        <v>1458</v>
      </c>
      <c r="C43" s="4" t="str">
        <f t="shared" si="0"/>
        <v>DF12(3.0)-32DS</v>
      </c>
      <c r="D43" s="6" t="str">
        <f t="shared" si="1"/>
        <v>Schematic\Connectors\Conn_32pin.SchLib</v>
      </c>
      <c r="E43" s="6" t="s">
        <v>1454</v>
      </c>
      <c r="F43" s="6" t="str">
        <f t="shared" si="2"/>
        <v>Footprints\Connectors\DF12(3.0)-32DS.PcbLib</v>
      </c>
      <c r="G43" s="6" t="s">
        <v>1457</v>
      </c>
      <c r="K43" s="6" t="s">
        <v>1165</v>
      </c>
      <c r="L43" s="6" t="s">
        <v>64</v>
      </c>
    </row>
    <row r="44" spans="1:12" ht="14.25" customHeight="1">
      <c r="A44" s="6" t="s">
        <v>1461</v>
      </c>
      <c r="B44" s="6" t="s">
        <v>1462</v>
      </c>
      <c r="C44" s="4" t="str">
        <f t="shared" si="0"/>
        <v>DF40C-50DP</v>
      </c>
      <c r="D44" s="6" t="str">
        <f t="shared" si="1"/>
        <v>Schematic\Connectors\Conn_50pin_double.SchLib</v>
      </c>
      <c r="E44" s="6" t="s">
        <v>1463</v>
      </c>
      <c r="F44" s="6" t="str">
        <f t="shared" si="2"/>
        <v>Footprints\Connectors\DF40C-50DP.PcbLib</v>
      </c>
      <c r="G44" s="6" t="s">
        <v>1461</v>
      </c>
      <c r="K44" s="6" t="s">
        <v>1165</v>
      </c>
      <c r="L44" s="6" t="s">
        <v>64</v>
      </c>
    </row>
    <row r="45" spans="1:12" ht="14.25" customHeight="1">
      <c r="A45" s="6" t="s">
        <v>1466</v>
      </c>
      <c r="B45" s="6" t="s">
        <v>1467</v>
      </c>
      <c r="C45" s="4" t="str">
        <f t="shared" si="0"/>
        <v>DF40C-50DS</v>
      </c>
      <c r="D45" s="6" t="str">
        <f t="shared" si="1"/>
        <v>Schematic\Connectors\Conn_50pin_double.SchLib</v>
      </c>
      <c r="E45" s="6" t="s">
        <v>1463</v>
      </c>
      <c r="F45" s="6" t="str">
        <f t="shared" si="2"/>
        <v>Footprints\Connectors\DF40C-50DS.PcbLib</v>
      </c>
      <c r="G45" s="6" t="s">
        <v>1466</v>
      </c>
      <c r="K45" s="6" t="s">
        <v>1165</v>
      </c>
      <c r="L45" s="6" t="s">
        <v>64</v>
      </c>
    </row>
    <row r="46" spans="1:12" ht="14.25" customHeight="1">
      <c r="A46" s="6" t="s">
        <v>1469</v>
      </c>
      <c r="B46" s="6" t="s">
        <v>1467</v>
      </c>
      <c r="C46" s="4" t="str">
        <f t="shared" si="0"/>
        <v>DF40HC(4.0)-50DS</v>
      </c>
      <c r="D46" s="6" t="str">
        <f t="shared" si="1"/>
        <v>Schematic\Connectors\Conn_50pin_double.SchLib</v>
      </c>
      <c r="E46" s="6" t="s">
        <v>1463</v>
      </c>
      <c r="F46" s="6" t="str">
        <f t="shared" si="2"/>
        <v>Footprints\Connectors\DF40HC(4.0)-50DS.PcbLib</v>
      </c>
      <c r="G46" s="6" t="s">
        <v>1469</v>
      </c>
      <c r="K46" s="6" t="s">
        <v>1165</v>
      </c>
      <c r="L46" s="6" t="s">
        <v>64</v>
      </c>
    </row>
    <row r="47" spans="1:12" ht="14.25" customHeight="1">
      <c r="A47" s="6" t="s">
        <v>1473</v>
      </c>
      <c r="B47" s="6" t="s">
        <v>1474</v>
      </c>
      <c r="C47" s="4" t="str">
        <f t="shared" si="0"/>
        <v>PLS-6</v>
      </c>
      <c r="D47" s="6" t="str">
        <f t="shared" si="1"/>
        <v>Schematic\Connectors\Conn_6pin.SchLib</v>
      </c>
      <c r="E47" s="6" t="s">
        <v>1475</v>
      </c>
      <c r="F47" s="6" t="s">
        <v>1174</v>
      </c>
      <c r="G47" s="6" t="s">
        <v>1476</v>
      </c>
      <c r="K47" s="6" t="s">
        <v>1165</v>
      </c>
      <c r="L47" s="6" t="s">
        <v>64</v>
      </c>
    </row>
    <row r="48" spans="1:12" ht="14.25" customHeight="1">
      <c r="A48" s="6" t="s">
        <v>1477</v>
      </c>
      <c r="B48" s="6" t="s">
        <v>1478</v>
      </c>
      <c r="C48" s="4" t="s">
        <v>1477</v>
      </c>
      <c r="D48" s="6" t="s">
        <v>1189</v>
      </c>
      <c r="E48" s="4" t="s">
        <v>1190</v>
      </c>
      <c r="F48" s="6" t="s">
        <v>1481</v>
      </c>
      <c r="G48" s="6" t="s">
        <v>1477</v>
      </c>
      <c r="K48" s="6" t="s">
        <v>1165</v>
      </c>
      <c r="L48" s="6" t="s">
        <v>64</v>
      </c>
    </row>
    <row r="49" spans="1:12" ht="14.25" customHeight="1">
      <c r="A49" s="6" t="s">
        <v>1483</v>
      </c>
      <c r="B49" s="6" t="s">
        <v>1484</v>
      </c>
      <c r="C49" s="4" t="s">
        <v>1483</v>
      </c>
      <c r="D49" s="6" t="s">
        <v>1197</v>
      </c>
      <c r="E49" s="4" t="s">
        <v>1199</v>
      </c>
      <c r="F49" s="6" t="s">
        <v>1485</v>
      </c>
      <c r="G49" s="6" t="s">
        <v>1483</v>
      </c>
      <c r="K49" s="6" t="s">
        <v>1165</v>
      </c>
      <c r="L49" s="6" t="s">
        <v>64</v>
      </c>
    </row>
    <row r="50" spans="1:12" ht="14.25" customHeight="1">
      <c r="A50" s="6" t="s">
        <v>1487</v>
      </c>
      <c r="B50" s="6" t="s">
        <v>1488</v>
      </c>
      <c r="C50" s="4" t="s">
        <v>1487</v>
      </c>
      <c r="D50" s="6" t="s">
        <v>1390</v>
      </c>
      <c r="E50" s="4" t="s">
        <v>1391</v>
      </c>
      <c r="F50" s="6" t="s">
        <v>1490</v>
      </c>
      <c r="G50" s="6" t="s">
        <v>1487</v>
      </c>
      <c r="K50" s="6" t="s">
        <v>1165</v>
      </c>
      <c r="L50" s="6" t="s">
        <v>64</v>
      </c>
    </row>
    <row r="51" spans="1:12" ht="14.25" customHeight="1">
      <c r="A51" s="6" t="s">
        <v>1492</v>
      </c>
      <c r="B51" s="6" t="s">
        <v>1493</v>
      </c>
      <c r="C51" s="4" t="str">
        <f t="shared" si="3" ref="C51:C52">A51</f>
        <v>DF40C-40DP</v>
      </c>
      <c r="D51" s="6" t="str">
        <f t="shared" si="4" ref="D51:D54">CONCATENATE("Schematic\Connectors\",E51,".SchLib")</f>
        <v>Schematic\Connectors\Conn_40pin_double.SchLib</v>
      </c>
      <c r="E51" s="6" t="s">
        <v>1391</v>
      </c>
      <c r="F51" s="6" t="str">
        <f t="shared" si="5" ref="F51:F54">CONCATENATE("Footprints\Connectors\",G51,".PcbLib")</f>
        <v>Footprints\Connectors\DF40C-40DP.PcbLib</v>
      </c>
      <c r="G51" s="6" t="s">
        <v>1492</v>
      </c>
      <c r="K51" s="6" t="s">
        <v>1165</v>
      </c>
      <c r="L51" s="6" t="s">
        <v>64</v>
      </c>
    </row>
    <row r="52" spans="1:12" ht="14.25" customHeight="1">
      <c r="A52" s="6" t="s">
        <v>1497</v>
      </c>
      <c r="B52" s="6" t="s">
        <v>1498</v>
      </c>
      <c r="C52" s="4" t="str">
        <f t="shared" si="3"/>
        <v>DF40C-40DS</v>
      </c>
      <c r="D52" s="6" t="str">
        <f t="shared" si="4"/>
        <v>Schematic\Connectors\Conn_40pin_double.SchLib</v>
      </c>
      <c r="E52" s="6" t="s">
        <v>1391</v>
      </c>
      <c r="F52" s="6" t="str">
        <f t="shared" si="5"/>
        <v>Footprints\Connectors\DF40C-40DS.PcbLib</v>
      </c>
      <c r="G52" s="6" t="s">
        <v>1497</v>
      </c>
      <c r="K52" s="6" t="s">
        <v>1165</v>
      </c>
      <c r="L52" s="6" t="s">
        <v>64</v>
      </c>
    </row>
    <row r="53" spans="1:12" ht="14.25" customHeight="1">
      <c r="A53" s="6" t="s">
        <v>1501</v>
      </c>
      <c r="B53" s="6" t="s">
        <v>1502</v>
      </c>
      <c r="C53" s="4" t="s">
        <v>1501</v>
      </c>
      <c r="D53" s="6" t="str">
        <f t="shared" si="4"/>
        <v>Schematic\Connectors\Conn_10pin.SchLib</v>
      </c>
      <c r="E53" s="4" t="s">
        <v>1162</v>
      </c>
      <c r="F53" s="6" t="str">
        <f t="shared" si="5"/>
        <v>Footprints\Connectors\M80-4001042.PcbLib</v>
      </c>
      <c r="G53" s="6" t="s">
        <v>1501</v>
      </c>
      <c r="J53" s="6" t="s">
        <v>1504</v>
      </c>
      <c r="K53" s="6" t="s">
        <v>1165</v>
      </c>
      <c r="L53" s="6" t="s">
        <v>45</v>
      </c>
    </row>
    <row r="54" spans="1:12" ht="14.25" customHeight="1">
      <c r="A54" s="6" t="s">
        <v>1505</v>
      </c>
      <c r="B54" s="6" t="s">
        <v>1506</v>
      </c>
      <c r="C54" s="6" t="s">
        <v>1501</v>
      </c>
      <c r="D54" s="6" t="str">
        <f t="shared" si="4"/>
        <v>Schematic\Connectors\Conn_10pin.SchLib</v>
      </c>
      <c r="E54" s="4" t="s">
        <v>1162</v>
      </c>
      <c r="F54" s="6" t="str">
        <f t="shared" si="5"/>
        <v>Footprints\Connectors\M80-4001042_govnodelie.PcbLib</v>
      </c>
      <c r="G54" s="6" t="s">
        <v>1508</v>
      </c>
      <c r="J54" s="6" t="s">
        <v>1504</v>
      </c>
      <c r="K54" s="6" t="s">
        <v>1165</v>
      </c>
      <c r="L54" s="6" t="s">
        <v>45</v>
      </c>
    </row>
    <row r="55" spans="1:11" ht="14.25" customHeight="1">
      <c r="A55" s="18" t="s">
        <v>1510</v>
      </c>
      <c r="B55" s="20" t="s">
        <v>1512</v>
      </c>
      <c r="C55" s="20" t="s">
        <v>1510</v>
      </c>
      <c r="D55" s="20" t="s">
        <v>1151</v>
      </c>
      <c r="E55" s="20" t="s">
        <v>1152</v>
      </c>
      <c r="F55" s="20" t="s">
        <v>1513</v>
      </c>
      <c r="G55" s="20" t="s">
        <v>1514</v>
      </c>
      <c r="H55" s="20"/>
      <c r="I55" s="20"/>
      <c r="J55" s="20"/>
      <c r="K55" s="60" t="s">
        <v>1165</v>
      </c>
    </row>
    <row r="56" spans="1:12" ht="14.25" customHeight="1">
      <c r="A56" s="6" t="s">
        <v>1517</v>
      </c>
      <c r="B56" s="6" t="s">
        <v>1519</v>
      </c>
      <c r="C56" s="4" t="s">
        <v>1517</v>
      </c>
      <c r="D56" s="20" t="s">
        <v>1520</v>
      </c>
      <c r="E56" s="6" t="s">
        <v>1517</v>
      </c>
      <c r="F56" s="20" t="s">
        <v>1521</v>
      </c>
      <c r="G56" s="6" t="s">
        <v>1522</v>
      </c>
      <c r="J56" s="6" t="s">
        <v>1523</v>
      </c>
      <c r="K56" s="60" t="s">
        <v>1165</v>
      </c>
      <c r="L56" s="6" t="s">
        <v>45</v>
      </c>
    </row>
    <row r="57" spans="1:12" ht="14.25" customHeight="1">
      <c r="A57" s="6" t="s">
        <v>1524</v>
      </c>
      <c r="B57" s="6" t="s">
        <v>1525</v>
      </c>
      <c r="C57" s="6" t="str">
        <f t="shared" si="6" ref="C57:C58">A57</f>
        <v>DIN41612_48_3row_straight_female</v>
      </c>
      <c r="D57" s="6" t="str">
        <f t="shared" si="7" ref="D57:D58">CONCATENATE("Schematic\Connectors\",E57,".SchLib")</f>
        <v>Schematic\Connectors\Conn_48pin_3row.SchLib</v>
      </c>
      <c r="E57" s="6" t="s">
        <v>1529</v>
      </c>
      <c r="F57" s="6" t="str">
        <f t="shared" si="8" ref="F57:F58">CONCATENATE("Footprints\Connectors\",G57,".PcbLib")</f>
        <v>Footprints\Connectors\DIN41612_48_3row_straight_female.PcbLib</v>
      </c>
      <c r="G57" s="6" t="s">
        <v>1524</v>
      </c>
      <c r="J57" s="14" t="s">
        <v>1530</v>
      </c>
      <c r="K57" s="6" t="s">
        <v>1165</v>
      </c>
      <c r="L57" s="6" t="s">
        <v>64</v>
      </c>
    </row>
    <row r="58" spans="1:12" ht="14.25" customHeight="1">
      <c r="A58" s="6" t="s">
        <v>1534</v>
      </c>
      <c r="B58" s="6" t="s">
        <v>1535</v>
      </c>
      <c r="C58" s="4" t="str">
        <f t="shared" si="6"/>
        <v>DIN41612_48_3row_right_angle_male</v>
      </c>
      <c r="D58" s="6" t="str">
        <f t="shared" si="7"/>
        <v>Schematic\Connectors\Conn_48pin_3row.SchLib</v>
      </c>
      <c r="E58" s="6" t="s">
        <v>1529</v>
      </c>
      <c r="F58" s="6" t="str">
        <f t="shared" si="8"/>
        <v>Footprints\Connectors\DIN41612_48_3row_right_angle_male.PcbLib</v>
      </c>
      <c r="G58" s="6" t="s">
        <v>1534</v>
      </c>
      <c r="J58" s="14" t="s">
        <v>1530</v>
      </c>
      <c r="K58" s="61" t="s">
        <v>1165</v>
      </c>
      <c r="L58" s="6" t="s">
        <v>64</v>
      </c>
    </row>
    <row r="59" spans="1:12" ht="14.25" customHeight="1">
      <c r="A59" s="6">
        <v>430450200</v>
      </c>
      <c r="B59" s="6" t="s">
        <v>1538</v>
      </c>
      <c r="C59" s="6">
        <v>430450200</v>
      </c>
      <c r="D59" s="6" t="s">
        <v>1207</v>
      </c>
      <c r="E59" s="6" t="s">
        <v>1208</v>
      </c>
      <c r="F59" s="6" t="s">
        <v>1540</v>
      </c>
      <c r="G59" s="6" t="s">
        <v>1541</v>
      </c>
      <c r="J59" s="62" t="s">
        <v>1542</v>
      </c>
      <c r="K59" s="6" t="s">
        <v>1165</v>
      </c>
      <c r="L59" s="6" t="s">
        <v>45</v>
      </c>
    </row>
    <row r="60" spans="1:12" ht="14.25" customHeight="1">
      <c r="A60" s="6" t="s">
        <v>1546</v>
      </c>
      <c r="B60" s="6" t="s">
        <v>1547</v>
      </c>
      <c r="C60" s="6" t="s">
        <v>1546</v>
      </c>
      <c r="D60" s="6" t="s">
        <v>1548</v>
      </c>
      <c r="E60" s="6" t="s">
        <v>1546</v>
      </c>
      <c r="F60" s="6" t="s">
        <v>1549</v>
      </c>
      <c r="G60" s="6" t="s">
        <v>1546</v>
      </c>
      <c r="J60" s="6" t="s">
        <v>1550</v>
      </c>
      <c r="K60" s="6" t="s">
        <v>1165</v>
      </c>
      <c r="L60" s="6" t="s">
        <v>45</v>
      </c>
    </row>
    <row r="61" spans="1:12" ht="14.25" customHeight="1">
      <c r="A61" s="6" t="s">
        <v>1551</v>
      </c>
      <c r="B61" s="6" t="s">
        <v>1552</v>
      </c>
      <c r="C61" s="4" t="s">
        <v>1553</v>
      </c>
      <c r="D61" s="6" t="str">
        <f>CONCATENATE("Schematic\Connectors\",E61,".SchLib")</f>
        <v>Schematic\Connectors\RJ45-8p8c.SchLib</v>
      </c>
      <c r="E61" s="6" t="s">
        <v>1557</v>
      </c>
      <c r="F61" s="6" t="str">
        <f>CONCATENATE("Footprints\Connectors\",G61,".PcbLib")</f>
        <v>Footprints\Connectors\1-406541-5.PcbLib</v>
      </c>
      <c r="G61" s="6" t="s">
        <v>1553</v>
      </c>
      <c r="J61" s="14" t="s">
        <v>1558</v>
      </c>
      <c r="K61" s="6" t="s">
        <v>1165</v>
      </c>
      <c r="L61" s="6" t="s">
        <v>64</v>
      </c>
    </row>
    <row r="62" spans="1:12" ht="14.25" customHeight="1">
      <c r="A62" s="6" t="s">
        <v>1561</v>
      </c>
      <c r="B62" s="6" t="s">
        <v>1562</v>
      </c>
      <c r="C62" s="6" t="s">
        <v>1561</v>
      </c>
      <c r="D62" s="20" t="s">
        <v>1564</v>
      </c>
      <c r="E62" s="6" t="s">
        <v>1561</v>
      </c>
      <c r="F62" s="20" t="s">
        <v>1565</v>
      </c>
      <c r="G62" s="6" t="s">
        <v>1561</v>
      </c>
      <c r="J62" s="14" t="s">
        <v>1566</v>
      </c>
      <c r="K62" s="60" t="s">
        <v>1165</v>
      </c>
      <c r="L62" s="6" t="s">
        <v>45</v>
      </c>
    </row>
    <row r="63" spans="1:12" ht="14.25" customHeight="1">
      <c r="A63" s="6" t="s">
        <v>1569</v>
      </c>
      <c r="B63" s="6" t="s">
        <v>1570</v>
      </c>
      <c r="C63" s="4" t="s">
        <v>1569</v>
      </c>
      <c r="D63" s="20" t="s">
        <v>1572</v>
      </c>
      <c r="E63" s="6" t="s">
        <v>1569</v>
      </c>
      <c r="F63" s="20" t="s">
        <v>1573</v>
      </c>
      <c r="G63" s="6" t="s">
        <v>1574</v>
      </c>
      <c r="J63" s="6" t="s">
        <v>1575</v>
      </c>
      <c r="K63" s="60" t="s">
        <v>1165</v>
      </c>
      <c r="L63" s="6" t="s">
        <v>45</v>
      </c>
    </row>
    <row r="64" spans="1:12" ht="14.25" customHeight="1">
      <c r="A64" s="6" t="s">
        <v>1576</v>
      </c>
      <c r="B64" s="6" t="s">
        <v>1577</v>
      </c>
      <c r="C64" s="6">
        <v>467650001</v>
      </c>
      <c r="D64" s="20" t="s">
        <v>1578</v>
      </c>
      <c r="E64" s="6">
        <v>467650001</v>
      </c>
      <c r="F64" s="20" t="s">
        <v>1581</v>
      </c>
      <c r="G64" s="6">
        <v>467650001</v>
      </c>
      <c r="J64" s="6" t="s">
        <v>1582</v>
      </c>
      <c r="K64" s="60" t="s">
        <v>1165</v>
      </c>
      <c r="L64" s="6" t="s">
        <v>45</v>
      </c>
    </row>
    <row r="65" spans="1:12" ht="14.25" customHeight="1">
      <c r="A65" s="6" t="s">
        <v>1584</v>
      </c>
      <c r="B65" s="6" t="s">
        <v>1585</v>
      </c>
      <c r="C65" s="4" t="s">
        <v>1584</v>
      </c>
      <c r="D65" s="20" t="s">
        <v>1586</v>
      </c>
      <c r="E65" s="6" t="s">
        <v>1587</v>
      </c>
      <c r="F65" s="20" t="s">
        <v>1588</v>
      </c>
      <c r="G65" s="6" t="s">
        <v>1587</v>
      </c>
      <c r="J65" s="6" t="s">
        <v>1589</v>
      </c>
      <c r="K65" s="60" t="s">
        <v>1165</v>
      </c>
      <c r="L65" s="6" t="s">
        <v>45</v>
      </c>
    </row>
    <row r="66" spans="1:12" ht="14.25" customHeight="1">
      <c r="A66" s="6" t="s">
        <v>1592</v>
      </c>
      <c r="B66" s="6" t="s">
        <v>1593</v>
      </c>
      <c r="C66" s="4" t="s">
        <v>1592</v>
      </c>
      <c r="D66" s="20" t="s">
        <v>1595</v>
      </c>
      <c r="E66" s="6" t="s">
        <v>1592</v>
      </c>
      <c r="F66" s="20" t="s">
        <v>1596</v>
      </c>
      <c r="G66" s="6" t="s">
        <v>1592</v>
      </c>
      <c r="J66" s="6" t="s">
        <v>1597</v>
      </c>
      <c r="K66" s="60" t="s">
        <v>1165</v>
      </c>
      <c r="L66" s="6" t="s">
        <v>45</v>
      </c>
    </row>
    <row r="67" spans="1:12" ht="14.25" customHeight="1">
      <c r="A67" s="6" t="s">
        <v>1598</v>
      </c>
      <c r="B67" s="6" t="s">
        <v>1599</v>
      </c>
      <c r="C67" s="4" t="s">
        <v>1598</v>
      </c>
      <c r="D67" s="6" t="str">
        <f t="shared" si="9" ref="D67:D68">CONCATENATE("Schematic\Connectors\",E67,".SchLib")</f>
        <v>Schematic\Connectors\Conn_4pin_sh.SchLib</v>
      </c>
      <c r="E67" s="6" t="s">
        <v>1603</v>
      </c>
      <c r="F67" s="6" t="str">
        <f t="shared" si="10" ref="F67:F68">CONCATENATE("Footprints\Connectors\",G67,".PcbLib")</f>
        <v>Footprints\Connectors\BM04B-SRSS-TB.PcbLib</v>
      </c>
      <c r="G67" s="6" t="s">
        <v>1598</v>
      </c>
      <c r="J67" s="14" t="s">
        <v>1604</v>
      </c>
      <c r="K67" s="60" t="s">
        <v>1165</v>
      </c>
      <c r="L67" s="6" t="s">
        <v>45</v>
      </c>
    </row>
    <row r="68" spans="1:12" ht="14.25" customHeight="1">
      <c r="A68" s="59" t="s">
        <v>1607</v>
      </c>
      <c r="B68" s="59" t="s">
        <v>1608</v>
      </c>
      <c r="C68" s="4" t="str">
        <f>A68</f>
        <v>Mini-USB-B5F</v>
      </c>
      <c r="D68" s="59" t="str">
        <f t="shared" si="9"/>
        <v>Schematic\Connectors\Mini-USB-B5F.SchLib</v>
      </c>
      <c r="E68" s="4" t="str">
        <f>C68</f>
        <v>Mini-USB-B5F</v>
      </c>
      <c r="F68" s="59" t="str">
        <f t="shared" si="10"/>
        <v>Footprints\Connectors\KLS1-229-5FA.PcbLib</v>
      </c>
      <c r="G68" s="59" t="s">
        <v>1609</v>
      </c>
      <c r="H68" s="59"/>
      <c r="I68" s="59"/>
      <c r="J68" s="59" t="s">
        <v>1611</v>
      </c>
      <c r="K68" s="61" t="s">
        <v>1165</v>
      </c>
      <c r="L68" s="59" t="s">
        <v>446</v>
      </c>
    </row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ustomSheetViews>
    <customSheetView guid="{341DCE69-01FB-409B-8CCD-A4C9CE508AA6}" filter="1" showAutoFilter="1" topLeftCell="A1">
      <pageMargins left="0.75" right="0.75" top="1" bottom="1" header="0.5" footer="0.5"/>
      <autoFilter ref="A1:L68"/>
    </customSheetView>
  </customSheetViews>
  <hyperlinks>
    <hyperlink ref="J35" r:id="rId1" display="https://static.chipdip.ru/lib/177/DOC040177951.pdf"/>
    <hyperlink ref="J57" r:id="rId2" display="https://cdn.promelec.ru/upload/datasheet/3/1/DS1120.pdf"/>
    <hyperlink ref="J58" r:id="rId3" display="https://cdn.promelec.ru/upload/datasheet/3/1/DS1120.pdf"/>
    <hyperlink ref="J59" r:id="rId4" display="https://www.molex.com/content/dam/molex/molex-dot-com/products/automated/en-us/salesdrawingpdf/430/43045/430450200_sd.pdf?inline"/>
    <hyperlink ref="J61" r:id="rId5" display="https://cdn.promelec.ru/upload/items/2021/01/20/ENG_CD_406541_T.pdf"/>
    <hyperlink ref="J62" r:id="rId6" display="https://cdn.promelec.ru/upload/items/2023/08/23/HR911130A_.pdf"/>
    <hyperlink ref="J67" r:id="rId7" display="https://static.chipdip.ru/lib/149/DOC007149929.pdf"/>
  </hyperlinks>
  <pageMargins left="0.7" right="0.7" top="0.75" bottom="0.75" header="0" footer="0"/>
  <pageSetup orientation="portrait" paperSize="9"/>
  <tableParts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14.0300</AppVersion>
  <DocSecurity>0</DocSecurity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